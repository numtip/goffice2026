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yaPainusa\Downloads\"/>
    </mc:Choice>
  </mc:AlternateContent>
  <xr:revisionPtr revIDLastSave="0" documentId="8_{53732C85-9BAC-4467-A016-6C167D0C6808}" xr6:coauthVersionLast="47" xr6:coauthVersionMax="47" xr10:uidLastSave="{00000000-0000-0000-0000-000000000000}"/>
  <bookViews>
    <workbookView xWindow="4080" yWindow="2550" windowWidth="18000" windowHeight="9360" activeTab="1" xr2:uid="{C6222337-9035-4D5B-AAA3-79AA28C8E985}"/>
  </bookViews>
  <sheets>
    <sheet name="2567" sheetId="7" r:id="rId1"/>
    <sheet name="2568" sheetId="1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1" l="1"/>
  <c r="F17" i="11"/>
  <c r="C18" i="11"/>
  <c r="D18" i="11"/>
  <c r="E18" i="11"/>
  <c r="B18" i="11"/>
  <c r="C17" i="11"/>
  <c r="D17" i="11"/>
  <c r="E17" i="11"/>
  <c r="B17" i="11"/>
  <c r="B17" i="7"/>
  <c r="P16" i="11"/>
  <c r="G16" i="11" s="1"/>
  <c r="P15" i="11"/>
  <c r="G15" i="11" s="1"/>
  <c r="P14" i="11"/>
  <c r="G14" i="11" s="1"/>
  <c r="P13" i="11"/>
  <c r="G13" i="11" s="1"/>
  <c r="P12" i="11"/>
  <c r="G12" i="11" s="1"/>
  <c r="P11" i="11"/>
  <c r="G11" i="11" s="1"/>
  <c r="P10" i="11"/>
  <c r="G10" i="11" s="1"/>
  <c r="P9" i="11"/>
  <c r="G9" i="11" s="1"/>
  <c r="P8" i="11"/>
  <c r="G8" i="11" s="1"/>
  <c r="P7" i="11"/>
  <c r="G7" i="11" s="1"/>
  <c r="P6" i="11"/>
  <c r="G6" i="11" s="1"/>
  <c r="P5" i="11"/>
  <c r="G5" i="11" s="1"/>
  <c r="P11" i="7"/>
  <c r="G11" i="7" s="1"/>
  <c r="P12" i="7"/>
  <c r="P13" i="7"/>
  <c r="P14" i="7"/>
  <c r="P15" i="7"/>
  <c r="P16" i="7"/>
  <c r="H10" i="7"/>
  <c r="H6" i="7"/>
  <c r="H7" i="7"/>
  <c r="H8" i="7"/>
  <c r="H9" i="7"/>
  <c r="G6" i="7"/>
  <c r="G7" i="7"/>
  <c r="G8" i="7"/>
  <c r="G9" i="7"/>
  <c r="G10" i="7"/>
  <c r="G12" i="7"/>
  <c r="H12" i="7" s="1"/>
  <c r="G13" i="7"/>
  <c r="H13" i="7" s="1"/>
  <c r="G14" i="7"/>
  <c r="H14" i="7" s="1"/>
  <c r="G15" i="7"/>
  <c r="H15" i="7" s="1"/>
  <c r="G16" i="7"/>
  <c r="H16" i="7" s="1"/>
  <c r="P6" i="7"/>
  <c r="P7" i="7"/>
  <c r="P8" i="7"/>
  <c r="P9" i="7"/>
  <c r="P10" i="7"/>
  <c r="P5" i="7"/>
  <c r="G5" i="7" s="1"/>
  <c r="H5" i="7" s="1"/>
  <c r="F18" i="7"/>
  <c r="D18" i="7"/>
  <c r="C18" i="7"/>
  <c r="B18" i="7"/>
  <c r="F17" i="7"/>
  <c r="D17" i="7"/>
  <c r="C17" i="7"/>
  <c r="J16" i="7"/>
  <c r="I16" i="7"/>
  <c r="K16" i="7" s="1"/>
  <c r="E16" i="7"/>
  <c r="J15" i="7"/>
  <c r="I15" i="7"/>
  <c r="K15" i="7" s="1"/>
  <c r="E15" i="7"/>
  <c r="J14" i="7"/>
  <c r="I14" i="7"/>
  <c r="K14" i="7" s="1"/>
  <c r="E14" i="7"/>
  <c r="J13" i="7"/>
  <c r="I13" i="7"/>
  <c r="K13" i="7" s="1"/>
  <c r="E13" i="7"/>
  <c r="J12" i="7"/>
  <c r="I12" i="7"/>
  <c r="K12" i="7" s="1"/>
  <c r="E12" i="7"/>
  <c r="E11" i="7"/>
  <c r="J10" i="7"/>
  <c r="I10" i="7"/>
  <c r="K10" i="7"/>
  <c r="E10" i="7"/>
  <c r="J9" i="7"/>
  <c r="I9" i="7"/>
  <c r="K9" i="7"/>
  <c r="E9" i="7"/>
  <c r="J8" i="7"/>
  <c r="I8" i="7"/>
  <c r="K8" i="7"/>
  <c r="E8" i="7"/>
  <c r="J7" i="7"/>
  <c r="I7" i="7"/>
  <c r="K7" i="7"/>
  <c r="E7" i="7"/>
  <c r="J6" i="7"/>
  <c r="I6" i="7"/>
  <c r="K6" i="7"/>
  <c r="E6" i="7"/>
  <c r="J5" i="7"/>
  <c r="I5" i="7"/>
  <c r="K5" i="7"/>
  <c r="E5" i="7"/>
  <c r="E17" i="7"/>
  <c r="E18" i="7"/>
  <c r="G18" i="11" l="1"/>
  <c r="J18" i="11" s="1"/>
  <c r="G17" i="11"/>
  <c r="J5" i="11"/>
  <c r="I5" i="11"/>
  <c r="H5" i="11"/>
  <c r="J6" i="11"/>
  <c r="I6" i="11"/>
  <c r="K6" i="11" s="1"/>
  <c r="H6" i="11"/>
  <c r="J7" i="11"/>
  <c r="I7" i="11"/>
  <c r="K7" i="11" s="1"/>
  <c r="H7" i="11"/>
  <c r="J8" i="11"/>
  <c r="I8" i="11"/>
  <c r="K8" i="11" s="1"/>
  <c r="H8" i="11"/>
  <c r="J9" i="11"/>
  <c r="I9" i="11"/>
  <c r="K9" i="11" s="1"/>
  <c r="H9" i="11"/>
  <c r="J10" i="11"/>
  <c r="I10" i="11"/>
  <c r="K10" i="11" s="1"/>
  <c r="H10" i="11"/>
  <c r="J11" i="11"/>
  <c r="I11" i="11"/>
  <c r="K11" i="11" s="1"/>
  <c r="H11" i="11"/>
  <c r="J12" i="11"/>
  <c r="I12" i="11"/>
  <c r="K12" i="11" s="1"/>
  <c r="H12" i="11"/>
  <c r="J13" i="11"/>
  <c r="I13" i="11"/>
  <c r="K13" i="11" s="1"/>
  <c r="H13" i="11"/>
  <c r="J14" i="11"/>
  <c r="I14" i="11"/>
  <c r="K14" i="11" s="1"/>
  <c r="H14" i="11"/>
  <c r="J15" i="11"/>
  <c r="I15" i="11"/>
  <c r="K15" i="11" s="1"/>
  <c r="H15" i="11"/>
  <c r="J16" i="11"/>
  <c r="I16" i="11"/>
  <c r="K16" i="11" s="1"/>
  <c r="H16" i="11"/>
  <c r="H11" i="7"/>
  <c r="H17" i="7" s="1"/>
  <c r="I11" i="7"/>
  <c r="J11" i="7"/>
  <c r="G18" i="7"/>
  <c r="J18" i="7" s="1"/>
  <c r="G17" i="7"/>
  <c r="H18" i="11" l="1"/>
  <c r="H17" i="11"/>
  <c r="I18" i="11"/>
  <c r="K18" i="11" s="1"/>
  <c r="K5" i="11"/>
  <c r="J17" i="11"/>
  <c r="I17" i="11"/>
  <c r="K17" i="11" s="1"/>
  <c r="H18" i="7"/>
  <c r="K11" i="7"/>
  <c r="I18" i="7"/>
  <c r="K18" i="7" s="1"/>
  <c r="I17" i="7"/>
  <c r="K17" i="7" s="1"/>
  <c r="J17" i="7"/>
</calcChain>
</file>

<file path=xl/sharedStrings.xml><?xml version="1.0" encoding="utf-8"?>
<sst xmlns="http://schemas.openxmlformats.org/spreadsheetml/2006/main" count="262" uniqueCount="142">
  <si>
    <t>แบบฟอร์ม 3.2(1)</t>
  </si>
  <si>
    <t>บันทึกปริมาณการใช้น้ำ</t>
  </si>
  <si>
    <t>เดือน</t>
  </si>
  <si>
    <t>ปริมาณการใช้น้ำปี 2566</t>
  </si>
  <si>
    <t>ปริมาณการใช้น้ำปี 2567</t>
  </si>
  <si>
    <t>ร้อยละปริมาณการใช้น้ำ</t>
  </si>
  <si>
    <t>ป้อนข้อมูลตรงนี้</t>
  </si>
  <si>
    <t>จำนวนคน</t>
  </si>
  <si>
    <t xml:space="preserve"> (หน่วย) ปี2566</t>
  </si>
  <si>
    <t>ค่าน้ำ/เดือน (บาท)</t>
  </si>
  <si>
    <t>(หน่วย/คน) ปี2566</t>
  </si>
  <si>
    <t>(หน่วย) ปี 2567</t>
  </si>
  <si>
    <t>(หน่วย/คน)ปี 2567</t>
  </si>
  <si>
    <t>(หน่วย)ปี2567</t>
  </si>
  <si>
    <t>(หน่วย/คน)ปี2567</t>
  </si>
  <si>
    <t>ข้อมูล1(หลัง)</t>
  </si>
  <si>
    <t>ข้อมูล2(ก่อน)</t>
  </si>
  <si>
    <t>ม.ค.</t>
  </si>
  <si>
    <t>มกราคม</t>
  </si>
  <si>
    <t>ก.พ.</t>
  </si>
  <si>
    <t>กุมภาพันธ์</t>
  </si>
  <si>
    <t>มี.ค.</t>
  </si>
  <si>
    <t>มีนาคม</t>
  </si>
  <si>
    <t>เม.ย.</t>
  </si>
  <si>
    <t>เมษายน</t>
  </si>
  <si>
    <t>พ.ค.</t>
  </si>
  <si>
    <t>พฤษภาคม</t>
  </si>
  <si>
    <t>มิ.ย.</t>
  </si>
  <si>
    <t>มิถุนายน</t>
  </si>
  <si>
    <t>ก.ค.</t>
  </si>
  <si>
    <t>กรกฎาคม</t>
  </si>
  <si>
    <t>ส.ค.</t>
  </si>
  <si>
    <t>สิงหาคม</t>
  </si>
  <si>
    <t>ก.ย.</t>
  </si>
  <si>
    <t>กันยายน</t>
  </si>
  <si>
    <t>ต.ค.</t>
  </si>
  <si>
    <t>ตุลาคม</t>
  </si>
  <si>
    <t>พ.ย.</t>
  </si>
  <si>
    <t>พฤศจิกายน</t>
  </si>
  <si>
    <t>ธ.ค.</t>
  </si>
  <si>
    <t>ธันวาคม</t>
  </si>
  <si>
    <t>เฉลี่ย</t>
  </si>
  <si>
    <t>รวม</t>
  </si>
  <si>
    <r>
      <rPr>
        <b/>
        <sz val="16"/>
        <color rgb="FF000000"/>
        <rFont val="Cordia New"/>
      </rPr>
      <t xml:space="preserve">สรุปปริมาณการใช้น้ำ
</t>
    </r>
    <r>
      <rPr>
        <sz val="16"/>
        <color rgb="FF000000"/>
        <rFont val="Cordia New"/>
      </rPr>
      <t>1. ปริมาณน้ำสะสมตั้งแต่เดือน มกราคม ถึง ธันวาคม ปี 2567 เท่ากับ 5,666.40 หน่วย ลดลงจาก ปี 2566 ในช่วงเวลาเดียวกัน เท่ากับ 5,523.00 หน่วย คิดเป็น  2.6 %
2. ปริมาณน้ำต่อคนสะสมตั้งแต่เดือน มกราคม ถึง ธันวาคม ปี 2567 เท่ากับ 59.65 หน่วย ลดลงจาก ปี 2566 ในช่วงเวลาเดียวกัน เท่ากับ 58.76 หน่วย คิดเป็น  1.5 %
3. ปริมาณน้ำเฉลี่ยตั้งแต่เดือน มกราคม ถึง ธันวาคม ปี 2567 เท่ากับ  472.20  หน่วย ลดลงจาก ปี 2566 ในช่วงเวลาเดียวกัน เท่ากับ  60.25 หน่วย คิดเป็น  2.6 %
4. ปริมาณน้ำต่อคนเฉลี่ยตั้งแต่เดือน มกราคม ถึง ธันวาคม ปี 2567 เท่ากับ  4.97  หน่วย ลดลงจาก ปี 2566 ในช่วงเวลาเดียวกัน เท่ากับ  4.90 หน่วย คิดเป็น  1.5 %</t>
    </r>
  </si>
  <si>
    <t>การวิเคราะห์ข้อมูลและสาเหตุ (เป้าหมาย : การใช้น้ำลดลง 5% จากปี 2566)</t>
  </si>
  <si>
    <t>เดือนมกราคม 2567</t>
  </si>
  <si>
    <t>รายละเอียด :</t>
  </si>
  <si>
    <t xml:space="preserve">ผลการใช้น้ำ ประจำเดือน มกราคม 2567 พบว่า มีการใช้น้ำ 291.00 หน่วย คิดเป็นเงิน 2,328.00 บาท มีปริมาณการใช้น้ำ 3.06 หน่วย/คน เมื่อเทียบกับปี 2566 ลดลง -31.0% </t>
  </si>
  <si>
    <t xml:space="preserve">วิเคราะห์สาเหตุ : </t>
  </si>
  <si>
    <t>เนื่องจากบุคคลากรให้ความร่วมมือในการปิดน้ำทุกครั้งเมื่อใช้เสร็จ และช่วยกันสังเกตหากมีจุดที่น้ำรั่วไหลจะทำการแจ้งผู้ดูแลอาคารทันที</t>
  </si>
  <si>
    <t>แนวทางจัดการ :</t>
  </si>
  <si>
    <t>ทำมาตรการจุดรับแจ้งน้ำรั่ว  ตรวจมิเตอร์รายสัปดาห์ และรณรงค์การใช้น้ำอย่างประหยัด</t>
  </si>
  <si>
    <t xml:space="preserve">เดือนกุมภาพันธ์ 2567      </t>
  </si>
  <si>
    <t xml:space="preserve">ผลการใช้น้ำ ประจำเดือน กุมภาพันธ์ 2567 พบว่า มีการใช้น้ำ 467.30 หน่วย คิดเป็นเงิน 3,738.40 บาท มีปริมาณการใช้น้ำ 4.92 หน่วย/คน เมื่อเทียบกับปี 2566 เพิ่มขึ้น 18.0% </t>
  </si>
  <si>
    <t>วิเคราะห์สาเหตุ :</t>
  </si>
  <si>
    <t>เนื่องจากมีก๊อกน้ำบริเวณห้องแลปชั้น2 แตก</t>
  </si>
  <si>
    <t>กำหนดมาตรการการประหยัดน้ำเพิ่มมากขึ้น และให้บุคคลากรหมั่นตรวจเช็คก๊อกน้ำ และวาล์วน้ำ</t>
  </si>
  <si>
    <t xml:space="preserve">เดือนมีนาคม 2567        </t>
  </si>
  <si>
    <t xml:space="preserve">รายละเอียด : </t>
  </si>
  <si>
    <t xml:space="preserve">ผลการใช้น้ำ ประจำเดือน มีนาคม 2567 พบว่า มีการใช้น้ำ 507.60 หน่วย คิดเป็นเงิน 4,060.80 บาท มีปริมาณการใช้น้ำ 5.34 หน่วย/คน เมื่อเทียบกับปี 2566 ลดลง 34.6% </t>
  </si>
  <si>
    <t>ทำมาตรการจุดรับแจ้งน้ำรั่ว ตรวจมิเตอร์รายสัปดาห์ และรณรงค์ให้บุคลากรใช้น้ำอย่างประหยัด</t>
  </si>
  <si>
    <t xml:space="preserve">เดือนเมษายน 2567        </t>
  </si>
  <si>
    <t xml:space="preserve">ผลการใช้น้ำ ประจำเดือน เมษายน 2567 พบว่า มีการใช้น้ำ 452.30 หน่วย คิดเป็นเงิน 3,618.40 บาท มีปริมาณการใช้น้ำ 4.6 หน่วย/คน เมื่อเทียบกับปี 2566 ลดลง 17.5% </t>
  </si>
  <si>
    <t>เนื่องจากบุคคลากรให้ความร่วมมือในการปิดน้ำทุกครั้งเมื่อใช้เสร็จ และช่วยกันสังเกตหากมีจุดที่น้ำรั่วไหลจะทำการแจ้งผู้ดูแลอาคารทันที และตรงกลับวันหยุดยาว</t>
  </si>
  <si>
    <t>ก่อนวันหยุดยาวให้ทำประกาศแจ้งให้บุคลากรทำการปิดวาล์วโซนที่ไม่จำเป็น/ตรวจรั่วก่อนปิดอาคาร เพื่อไม่ให้เกิดการรั่วไหลช่วงไม่มีคน</t>
  </si>
  <si>
    <t xml:space="preserve">เดือนพฤษภาคม 2567        </t>
  </si>
  <si>
    <t xml:space="preserve">ผลการใช้น้ำ ประจำเดือน พฤษภาคม 2567 พบว่า มีการใช้น้ำ 408.70 หน่วย คิดเป็นเงิน 3,269.60 บาท มีปริมาณการใช้น้ำ 4.30 หน่วย/คน เมื่อเทียบกับปี 2566 ลดลง 0.6% </t>
  </si>
  <si>
    <t xml:space="preserve">เดือนมิถุนายน 2567        </t>
  </si>
  <si>
    <t xml:space="preserve">ผลการใช้น้ำ ประจำเดือน มิถุนายน 2567 พบว่า มีการใช้น้ำ 369.00 หน่วย คิดเป็นเงิน 2,952.00 บาท มีปริมาณการใช้น้ำ 3.88 หน่วย/คน เมื่อเทียบกับปี 2566 เพิ่มขึ้น 10.5% </t>
  </si>
  <si>
    <t>เนื่องจากมีก๊อกน้ำบริเวณห้องน้ำชั้น 2 รั่วหลายจุด และมีผู้มาใช้บริการห้องประชุมจำนวนมาก</t>
  </si>
  <si>
    <t>ให้บุคลากรหมั่นตรวจเช็คก๊อกน้ำ และวาล์วน้ำ เมื่อมีการรั่วไหลให้รีบแจ้งช่างประจำอาคารฯ และรณรงค์ให้บุคลากรใช้น้ำอย่างประหยัด</t>
  </si>
  <si>
    <t>เดือนกรกฎาคม 2567</t>
  </si>
  <si>
    <t xml:space="preserve">ผลการใช้น้ำ ประจำเดือน กรกาคม 2567 พบว่า มีการใช้น้ำ 42.10 หน่วย คิดเป็นเงิน 3,696.80 บาท มีปริมาณการใช้น้ำ 4.86 หน่วย/คน เมื่อเทียบกับปี 2566 ลดลง 11.0% </t>
  </si>
  <si>
    <t xml:space="preserve">หลังเดือนมิถุนายนที่มีการรั่วของก๊อกน้ำหลายจุด แต่ตัวเลขกลับมาลดลงอาจสะท้อนว่ามีการซ่อมบำรุง และควบคุมได้ดีขึ้น </t>
  </si>
  <si>
    <t xml:space="preserve">เดือนสิงหาคม 2567      </t>
  </si>
  <si>
    <t xml:space="preserve">ผลการใช้น้ำ ประจำเดือน สิงหาคม 2567 พบว่า มีการใช้น้ำ 348.60 หน่วย คิดเป็นเงิน 2,788.80 บาท มีปริมาณการใช้น้ำ 3.67 หน่วย/คน เมื่อเทียบกับปี 2566 ลดลง 31.0% </t>
  </si>
  <si>
    <t>มีการใช้อาคารในการจัดประชุมลดลง ประกอบกับมีมาตรการเข้มขึ้น</t>
  </si>
  <si>
    <t xml:space="preserve">เดือนกันยายน 2567        </t>
  </si>
  <si>
    <t xml:space="preserve">ผลการใช้น้ำ ประจำเดือน กันยายน 2567 พบว่า มีการใช้น้ำ 355.50 หน่วย คิดเป็นเงิน 2,844.00 บาท มีปริมาณการใช้น้ำ 3.74 หน่วย/คน เมื่อเทียบกับปี 2566 ลดลง 6.2% </t>
  </si>
  <si>
    <t>มีมาตรการการใช้น้ำที่เข้มขึ้น</t>
  </si>
  <si>
    <t xml:space="preserve">เดือนตุลาคม 2567        </t>
  </si>
  <si>
    <t xml:space="preserve">ผลการใช้น้ำ ประจำเดือน ตุลาคม 2567 พบว่า มีการใช้น้ำ 463.60 หน่วย คิดเป็นเงิน 3,708.80 บาท มีปริมาณการใช้น้ำ 4.88 หน่วย/คน เมื่อเทียบกับปี 2566 เพิ่มขึ้น 12.5% </t>
  </si>
  <si>
    <t>มีการใช้อาคารในการจัดประชุมเพิ่มขึ้นจากหน่วยงานภายนอกและหน่วยงานภายใน  อีกทั้งมีการรั่วบางจุด</t>
  </si>
  <si>
    <t>รณรงค์ให้บุคลากรใช้น้ำอย่างประหยัด และตรวจเช็คสุขภัณฑ์แต่ละชั้น</t>
  </si>
  <si>
    <t xml:space="preserve">เดือนพฤศจิกายน 2567        </t>
  </si>
  <si>
    <t xml:space="preserve">ผลการใช้น้ำ ประจำเดือน พฤศจิกายน 2567 พบว่า มีการใช้น้ำ 508.10 หน่วย คิดเป็นเงิน 4,064.80 บาท มีปริมาณการใช้น้ำ 5.35 หน่วย/คน เมื่อเทียบกับปี 2566 เพิ่มขึ้น  7.6% </t>
  </si>
  <si>
    <t xml:space="preserve">มีการใช้อาคารในการจัดประชุมเพิ่มขึ้นจากหน่วยงานภายนอกและหน่วยงานภายใน </t>
  </si>
  <si>
    <t xml:space="preserve">รณรงค์ให้บุคลากรใช้น้ำอย่างประหยัด </t>
  </si>
  <si>
    <t xml:space="preserve">เดือนธันวาคม 2567        </t>
  </si>
  <si>
    <t xml:space="preserve">ผลการใช้น้ำ ประจำเดือน ธันวาคม 2567 พบว่า มีการใช้น้ำ 1,032.60 หน่วย คิดเป็นเงิน 8,260.80 บาท มีปริมาณการใช้น้ำ 10.87 หน่วย/คน เมื่อเทียบกับปี 2566 เพิ่มขึ้น 195.9% </t>
  </si>
  <si>
    <t>มีการใช้ห้องประชุมจากหน่วยงานภายนอกและหน่วยงานภายในจำนวนมาก และเกิดท่อแตกบริเวณข้างตึก</t>
  </si>
  <si>
    <t>รณรงค์ให้บุคลากรใช้น้ำอย่างประหยัด และตรวจเช็คสุขภัณฑ์และการเสื่อมของท่อบริเวณอาคาร</t>
  </si>
  <si>
    <t>ปริมาณการใช้น้ำปี 2568</t>
  </si>
  <si>
    <t xml:space="preserve"> (หน่วย) ปี2567</t>
  </si>
  <si>
    <t>(หน่วย/คน) ปี2567</t>
  </si>
  <si>
    <t>(หน่วย) ปี 2568</t>
  </si>
  <si>
    <t>(หน่วย/คน)ปี 2568</t>
  </si>
  <si>
    <t>(หน่วย)ปี2568</t>
  </si>
  <si>
    <t>(หน่วย/คน)ปี2568</t>
  </si>
  <si>
    <r>
      <rPr>
        <b/>
        <sz val="16"/>
        <color rgb="FF000000"/>
        <rFont val="Cordia New"/>
      </rPr>
      <t xml:space="preserve">สรุปปริมาณการใช้น้ำ
</t>
    </r>
    <r>
      <rPr>
        <sz val="16"/>
        <color rgb="FF000000"/>
        <rFont val="Cordia New"/>
      </rPr>
      <t>1. ปริมาณน้ำสะสมตั้งแต่เดือน มกราคม ถึง ธันวาคมปี 2568 เท่ากับ 8,337.50 หน่วย เพิ่มขึ้น จาก ปี 2567 ในช่วงเวลาเดียวกัน เท่ากับ 5,666.40 หน่วย คิดเป็น  47.1 %
2. ปริมาณน้ำต่อคนสะสมตั้งแต่เดือน มกราคม ถึงธันวาคม ปี 2568 เท่ากับ 87.76 หน่วย  เพิ่มขึ้น จาก ปี 2567 ในช่วงเวลาเดียวกัน เท่ากับ 59.65 หน่วย คิดเป็น  47.1 %
3. ปริมาณน้ำเฉลี่ยตั้งแต่เดือน มกราคม ถึง ธันวาคม ปี 2568 เท่ากับ  59.65  หน่วย  เพิ่มขึ้น จาก ปี 2567 ในช่วงเวลาเดียวกัน เท่ากับ  87.76 หน่วย คิดเป็น  47.1 %
4. ปริมาณน้ำต่อคนเฉลี่ยตั้งแต่เดือน มกราคม ถึง ธันวาคม ปี 2568 เท่ากับ  7.31  หน่วย  เพิ่มขึ้น จาก ปี 2567 ในช่วงเวลาเดียวกัน เท่ากับ  4.97 หน่วย คิดเป็น  47.1 %</t>
    </r>
  </si>
  <si>
    <t>การวิเคราะห์ข้อมูลและสาเหตุ (เป้าหมาย : การใช้น้ำลดลง 1% จากปี 2568)</t>
  </si>
  <si>
    <t>เดือนมกราคม 2568</t>
  </si>
  <si>
    <t xml:space="preserve">ผลการใช้น้ำ ประจำเดือน มกราคม 2568 พบว่า มีการใช้น้ำ 939.00 หน่วย คิดเป็นเงิน 7,512.00 บาท มีปริมาณการใช้น้ำ 9.88 หน่วย/คน เมื่อเทียบกับปี 2567 เพิ่มขึ้น 222.% </t>
  </si>
  <si>
    <t>เนื่องจากมีบุคลากรและนักศึกษามาใช้ห้องบริการห้องประชุมจำนวนมาก และมีน้ำรั่วซึมบริเวณห้องปฏิบัติการชั้น2 แตก  พร้อมทั้งมีการปลูกต้นไม้รอบอาคาร</t>
  </si>
  <si>
    <t>ทำมาตรการจุดรับแจ้งน้ำรั่ว ตรวจมิเตอร์รายสัปดาห์ และรณรงค์การใช้น้ำอย่างประหยัด</t>
  </si>
  <si>
    <t>เดือนกุมภาพันธ์ 2568</t>
  </si>
  <si>
    <t>ผลการใช้น้ำ ประจำเดือน กุมภาพันธ์ 2568 พบว่า มีการใช้น้ำ 447.50 หน่วย คิดเป็นเงิน 3,580.00 บาท มีปริมาณการใช้น้ำ 4.71 หน่วย/คน เมื่อเทียบกับปี 2567 ลดลง -4.2%</t>
  </si>
  <si>
    <t>น้ำที่รั่วซึมบริเวณห้องปฏิบัติการชั้น 2 ซ่อมแซมเรียบร้อยแล้ว</t>
  </si>
  <si>
    <t>เดือนมีนาคม 2568</t>
  </si>
  <si>
    <t>ผลการใช้น้ำ ประจำเดือน มีนาคม 2568 พบว่า มีการใช้น้ำ 555.00 หน่วย คิดเป็นเงิน 4,440.00 บาท มีปริมาณการใช้น้ำ 5.84 หน่วย/คน เมื่อเทียบกับปี 2567 เพิ่มขึ้น  9.3%</t>
  </si>
  <si>
    <t>เนื่องจากมีบุคลากรและนักศึกษามาใช้ห้องบริการห้องประชุม อีกทั้งมีการใช้น้ำนอกอาคารต่อเนื่อง เช่น รดน้ำต้นไม้ หรือมีรั่วเล็ก ๆ ที่ยังไม่แสดงชัด</t>
  </si>
  <si>
    <t>ตรวจสุขภัณฑ์ที่เสื่อมสภาพ ทำมาตรการจุดรับแจ้งน้ำรั่ว  และรณรงค์การใช้น้ำอย่างประหยัด</t>
  </si>
  <si>
    <t>เดือนเมษายน 2568</t>
  </si>
  <si>
    <t xml:space="preserve">ผลการใช้น้ำ ประจำเดือน เมษายน 2568 พบว่า มีการใช้น้ำ 594.60 หน่วย คิดเป็นเงิน 4,756.80 บาท มีปริมาณการใช้น้ำ 6.26 หน่วย/คน เมื่อเทียบกับปี 2567 เพิ่มขึ้น 31.5% </t>
  </si>
  <si>
    <t>การใช้น้ำเพิ่มขึ้นต่อเนื่อง อาจสัมพันธ์กับการใช้อาคารมากขึ้น กิจกรรมมากขึ้น หรือมาตรการควบคุมยังไม่เข้มพอ</t>
  </si>
  <si>
    <t>เพิ่มความถี่การตรวจรั่วรายสัปดาห์  และมาตรการพฤติกรรม พร้อมทั้งป้ายเตือน ผู้รับผิดชอบปิดวาล์วแต่ละโซน</t>
  </si>
  <si>
    <t>เดือนพฤษภาคม 2568</t>
  </si>
  <si>
    <t xml:space="preserve">ผลการใช้น้ำ ประจำเดือน พฤษภาคม 2568 พบว่า มีการใช้น้ำ 697.30 หน่วย คิดเป็นเงิน 5,578.40 บาท มีปริมาณการใช้น้ำ 7.34 หน่วย/คน เมื่อเทียบกับปี 2567 เพิ่มขึ้น 70.6% </t>
  </si>
  <si>
    <t>การใช้น้ำเพิ่มขึ้นต่อเนื่อง อาจสัมพันธ์กับการใช้อาคารมากขึ้น กิจกรรมมากขึ้น และอาจเกิดการรั่วซ่อนเร้น เช่น ชักโครกไหลตลอด วาล์วค้างท่อซึม</t>
  </si>
  <si>
    <t>ตรวจสุขภัณฑ์ทุกห้องน้ำแบบเช็คลิสต์  ทำการทดสอบปิดวาล์วเป็นโซนนอกเวลางานเพื่อหาวงจรรั่ว รวมถึงทำมาตรการจุดรับแจ้งน้ำรั่ว  และรณรงค์การใช้น้ำอย่างประหยัด</t>
  </si>
  <si>
    <t>เดือนมิถุนายน 2568</t>
  </si>
  <si>
    <t xml:space="preserve">ผลการใช้น้ำ ประจำเดือน มิถุนายน 2568 พบว่า มีการใช้น้ำ 662.70 หน่วย คิดเป็นเงิน 5,301.60 บาท มีปริมาณการใช้น้ำ 6.98 หน่วย/คน เมื่อเทียบกับปี 2567 เพิ่มขึ้น 79.6% </t>
  </si>
  <si>
    <t>การใช้อาคารมากขึ้นรวมถึงกิจกรรมการใช้ห้องประชุมจากหน่วยงานภายในและภายนอกมากขึ้น อีกทั้งอาจเกิดการรั่วซ่อนเร้น เช่น ชักโครกไหลตลอด วาล์วค้างท่อซึม</t>
  </si>
  <si>
    <t>เดือนกรกฎาคม 2568</t>
  </si>
  <si>
    <t xml:space="preserve">ผลการใช้น้ำ ประจำเดือน กรกฎาคม 2568 พบว่า มีการใช้น้ำ 642.70 หน่วย คิดเป็นเงิน 5,141.60 บาท มีปริมาณการใช้น้ำ 6.77 หน่วย/คน เมื่อเทียบกับปี 2567 เพิ่มขึ้น 39.1% </t>
  </si>
  <si>
    <t>การใช้อาคารมากขึ้นรวมถึงกิจกรรมการใช้ห้องประชุมจากหน่วยงานภายในและภายนอกมากขึ้น</t>
  </si>
  <si>
    <t>เดือนสิงหาคม 2568</t>
  </si>
  <si>
    <t xml:space="preserve">ผลการใช้น้ำ ประจำเดือน สิงหาคม 2568 พบว่า มีการใช้น้ำ 696.50 หน่วย คิดเป็นเงิน 5,572.00 บาท มีปริมาณการใช้น้ำ 7.33 หน่วย/คน เมื่อเทียบกับปี 2567 เพิ่มขึ้น 99.8% </t>
  </si>
  <si>
    <t>เกิดจากการใช้ห้องประชุมจากหน่วยงานภายในจำนวนมาก ประกอบการภายในอาคารมีการจัดกิจกรรม</t>
  </si>
  <si>
    <t>เดือนกันยายน 2568</t>
  </si>
  <si>
    <t xml:space="preserve">ผลการใช้น้ำ ประจำเดือน กันยายน 2568 พบว่า มีการใช้น้ำ 734.10 หน่วย คิดเป็นเงิน 5,872.80 บาท มีปริมาณการใช้น้ำ 7.73 หน่วย/คน เมื่อเทียบกับปี 2567 เพิ่มขึ้น 106.5% </t>
  </si>
  <si>
    <t>เดือนตุลาคม 2568</t>
  </si>
  <si>
    <t xml:space="preserve">ผลการใช้น้ำ ประจำเดือน ตุลาคม 2568 พบว่า มีการใช้น้ำ 599.40 หน่วย คิดเป็นเงิน 4,795.20 บาท มีปริมาณการใช้น้ำ 6.31 หน่วย/คน เมื่อเทียบกับปี 2567 เพิ่มขึ้น 29.3% </t>
  </si>
  <si>
    <t>การใช้อาคารมากขึ้นรวมถึงกิจกรรมการใช้ห้องประชุม และอาจเกิดการรั่วซ่อนเร้น</t>
  </si>
  <si>
    <t xml:space="preserve">ทำมาตรการจุดรับแจ้งน้ำรั่ว ตรวจมิเตอร์รายสัปดาห์ และรณรงค์การใช้น้ำอย่างประหยัด และตรวจสุขภัณฑ์ทุกห้องน้ำแบบเช็คลิสต์  </t>
  </si>
  <si>
    <t>เดือนพฤศจิกายน 2568</t>
  </si>
  <si>
    <t xml:space="preserve">ผลการใช้น้ำ ประจำเดือน พฤศจิกายน 2568 พบว่า มีการใช้น้ำ 840.60 หน่วย คิดเป็นเงิน 6,724.80 บาท มีปริมาณการใช้น้ำ 8.85 หน่วย/คน เมื่อเทียบกับปี 2567 เพิ่มขึ้น 65.4% </t>
  </si>
  <si>
    <t xml:space="preserve">เกิดจากการใช้ห้องประชุมจากหน่วยงานภายในจำนวนมาก ประกอบการภายในอาคารมีการจัดกิจกรรม IQS OPEN HOUSE  </t>
  </si>
  <si>
    <t>เดือนธันวาคม 2568</t>
  </si>
  <si>
    <t xml:space="preserve">ผลการใช้น้ำ ประจำเดือน ธันวาคม 2568 พบว่า มีการใช้น้ำ 928.10 หน่วย คิดเป็นเงิน 7,424.80 บาท มีปริมาณการใช้น้ำ 9.77 หน่วย/คน เมื่อเทียบกับปี 2567 ลดลง 10.1% </t>
  </si>
  <si>
    <t>อาจเริ่มมีมาตรการการใช้น้ำที่เข้มขึ้น ทำให้บุคลากรปฏิบัติตามมากขึ้น</t>
  </si>
  <si>
    <t>ทำมาตรการจุดรับแจ้งน้ำรั่ว ตรวจมิเตอร์รายสัปดาห์ และรณรงค์การใช้น้ำอย่างประหยัด และทำการตรวจระบบครั้งใหญ่ก่อนช่วงวันหยุด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</si>
</sst>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.0"/>
    <numFmt numFmtId="188" formatCode="0.0%"/>
  </numFmts>
  <fonts count="19" x14ac:knownFonts="1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1"/>
      <name val="Arial"/>
      <family val="2"/>
    </font>
    <font>
      <b/>
      <sz val="13"/>
      <color rgb="FFFF0000"/>
      <name val="Arial"/>
      <family val="2"/>
    </font>
    <font>
      <b/>
      <sz val="16"/>
      <color rgb="FF000000"/>
      <name val="Cordia New"/>
    </font>
    <font>
      <sz val="16"/>
      <color rgb="FF000000"/>
      <name val="Cordia New"/>
    </font>
    <font>
      <sz val="16"/>
      <color rgb="FF000000"/>
      <name val="Cordia New"/>
      <charset val="1"/>
    </font>
    <font>
      <sz val="16"/>
      <color rgb="FF242424"/>
      <name val="Cordia Ne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59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" fillId="2" borderId="0" xfId="3" applyFont="1" applyFill="1"/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1" xfId="3" applyFont="1" applyFill="1" applyBorder="1" applyAlignment="1">
      <alignment horizontal="center"/>
    </xf>
    <xf numFmtId="43" fontId="7" fillId="3" borderId="1" xfId="2" applyFont="1" applyFill="1" applyBorder="1"/>
    <xf numFmtId="43" fontId="7" fillId="2" borderId="1" xfId="2" applyFont="1" applyFill="1" applyBorder="1"/>
    <xf numFmtId="43" fontId="7" fillId="4" borderId="1" xfId="2" applyFont="1" applyFill="1" applyBorder="1"/>
    <xf numFmtId="0" fontId="5" fillId="2" borderId="0" xfId="3" applyFont="1" applyFill="1" applyAlignment="1">
      <alignment horizontal="center"/>
    </xf>
    <xf numFmtId="187" fontId="7" fillId="2" borderId="0" xfId="3" applyNumberFormat="1" applyFont="1" applyFill="1"/>
    <xf numFmtId="0" fontId="7" fillId="2" borderId="0" xfId="3" applyFont="1" applyFill="1"/>
    <xf numFmtId="0" fontId="6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11" fillId="2" borderId="0" xfId="3" applyFont="1" applyFill="1" applyAlignment="1">
      <alignment horizontal="left" vertical="center"/>
    </xf>
    <xf numFmtId="0" fontId="12" fillId="3" borderId="0" xfId="3" applyFont="1" applyFill="1" applyAlignment="1">
      <alignment horizontal="center" vertical="center"/>
    </xf>
    <xf numFmtId="0" fontId="11" fillId="2" borderId="0" xfId="3" applyFont="1" applyFill="1"/>
    <xf numFmtId="188" fontId="7" fillId="2" borderId="2" xfId="1" applyNumberFormat="1" applyFont="1" applyFill="1" applyBorder="1" applyAlignment="1">
      <alignment horizontal="center" vertical="center" wrapText="1"/>
    </xf>
    <xf numFmtId="188" fontId="7" fillId="2" borderId="1" xfId="1" applyNumberFormat="1" applyFont="1" applyFill="1" applyBorder="1" applyAlignment="1">
      <alignment horizontal="center" vertical="center" wrapText="1"/>
    </xf>
    <xf numFmtId="0" fontId="12" fillId="2" borderId="0" xfId="3" applyFont="1" applyFill="1" applyAlignment="1">
      <alignment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4" fontId="13" fillId="5" borderId="6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0" fontId="16" fillId="2" borderId="0" xfId="3" applyFont="1" applyFill="1" applyAlignment="1">
      <alignment vertical="center"/>
    </xf>
    <xf numFmtId="4" fontId="2" fillId="0" borderId="6" xfId="0" applyNumberFormat="1" applyFont="1" applyBorder="1" applyAlignment="1">
      <alignment horizontal="center" vertical="center" wrapText="1"/>
    </xf>
    <xf numFmtId="4" fontId="2" fillId="5" borderId="6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 wrapText="1"/>
    </xf>
    <xf numFmtId="0" fontId="11" fillId="2" borderId="0" xfId="3" applyFont="1" applyFill="1" applyAlignment="1">
      <alignment horizontal="left" vertical="center" wrapText="1"/>
    </xf>
    <xf numFmtId="0" fontId="11" fillId="2" borderId="0" xfId="3" applyFont="1" applyFill="1" applyAlignment="1">
      <alignment horizontal="left" vertical="center"/>
    </xf>
    <xf numFmtId="0" fontId="12" fillId="2" borderId="0" xfId="3" applyFont="1" applyFill="1" applyAlignment="1">
      <alignment horizontal="left" vertical="center" wrapText="1"/>
    </xf>
    <xf numFmtId="0" fontId="17" fillId="2" borderId="0" xfId="3" applyFont="1" applyFill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10" fillId="6" borderId="0" xfId="3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 wrapText="1"/>
    </xf>
    <xf numFmtId="0" fontId="12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15" fillId="2" borderId="0" xfId="3" applyFont="1" applyFill="1" applyAlignment="1">
      <alignment horizontal="left" vertical="center" wrapText="1"/>
    </xf>
    <xf numFmtId="0" fontId="8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center" vertical="center"/>
    </xf>
    <xf numFmtId="0" fontId="16" fillId="2" borderId="0" xfId="3" applyFont="1" applyFill="1" applyAlignment="1">
      <alignment horizontal="left" vertical="center"/>
    </xf>
    <xf numFmtId="0" fontId="18" fillId="2" borderId="0" xfId="3" applyFont="1" applyFill="1" applyAlignment="1">
      <alignment horizontal="left" vertical="center"/>
    </xf>
  </cellXfs>
  <cellStyles count="4">
    <cellStyle name="จุลภาค 2" xfId="2" xr:uid="{56B29198-CAE5-4F74-A0E8-E4CD75E157D6}"/>
    <cellStyle name="ปกติ" xfId="0" builtinId="0"/>
    <cellStyle name="ปกติ 2" xfId="3" xr:uid="{6A3C3F21-2AF0-4D14-B3BB-D5CEB6D8B527}"/>
    <cellStyle name="เปอร์เซ็นต์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56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3-4A4D-B741-1DF7C2C88AE5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3-4A4D-B741-1DF7C2C8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974992"/>
        <c:axId val="1"/>
      </c:barChart>
      <c:catAx>
        <c:axId val="1900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0974992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24901943436E-2"/>
          <c:y val="0.89605268666570048"/>
          <c:w val="0.80927452888613649"/>
          <c:h val="8.86875030191778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5-4A38-B85B-88A022F08DCE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5-4A38-B85B-88A022F08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103472"/>
        <c:axId val="1"/>
      </c:barChart>
      <c:catAx>
        <c:axId val="19061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3472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1344514139"/>
          <c:y val="0.92770291371806368"/>
          <c:w val="0.86049171819624248"/>
          <c:h val="5.6605867304561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5999549136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1A-4D03-91C3-8046AE782A2A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21A-4D03-91C3-8046AE782A2A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A-4D03-91C3-8046AE78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102512"/>
        <c:axId val="1"/>
      </c:barChart>
      <c:catAx>
        <c:axId val="19061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2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3333333333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54E5-4998-ADE4-027733570928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54E5-4998-ADE4-027733570928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E5-4998-ADE4-027733570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64272"/>
        <c:axId val="1"/>
      </c:barChart>
      <c:catAx>
        <c:axId val="11011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01164272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56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887292213473316"/>
          <c:y val="0.16097295129775446"/>
          <c:w val="0.82834930008748908"/>
          <c:h val="0.6158869203849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_(* #,##0.00_);_(* \(#,##0.00\);_(* "-"??_);_(@_)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E-4183-AB5D-8A7107034466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_(* #,##0.00_);_(* \(#,##0.00\);_(* "-"??_);_(@_)</c:formatCode>
                <c:ptCount val="13"/>
                <c:pt idx="0">
                  <c:v>291</c:v>
                </c:pt>
                <c:pt idx="1">
                  <c:v>467.29999999998836</c:v>
                </c:pt>
                <c:pt idx="2">
                  <c:v>507.59999999997672</c:v>
                </c:pt>
                <c:pt idx="3">
                  <c:v>452.29999999998836</c:v>
                </c:pt>
                <c:pt idx="4">
                  <c:v>408.70000000001164</c:v>
                </c:pt>
                <c:pt idx="5">
                  <c:v>369</c:v>
                </c:pt>
                <c:pt idx="6">
                  <c:v>462.10000000003492</c:v>
                </c:pt>
                <c:pt idx="7">
                  <c:v>348.59999999997672</c:v>
                </c:pt>
                <c:pt idx="8">
                  <c:v>355.5</c:v>
                </c:pt>
                <c:pt idx="9">
                  <c:v>463.59999999997672</c:v>
                </c:pt>
                <c:pt idx="10">
                  <c:v>508.10000000003492</c:v>
                </c:pt>
                <c:pt idx="11">
                  <c:v>1032.5999999999767</c:v>
                </c:pt>
                <c:pt idx="12">
                  <c:v>472.19999999999709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E-4183-AB5D-8A7107034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5632"/>
        <c:axId val="1801008032"/>
      </c:barChart>
      <c:catAx>
        <c:axId val="180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8032"/>
        <c:crosses val="autoZero"/>
        <c:auto val="1"/>
        <c:lblAlgn val="ctr"/>
        <c:lblOffset val="100"/>
        <c:noMultiLvlLbl val="0"/>
      </c:catAx>
      <c:valAx>
        <c:axId val="18010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เปรียบเทียบปริมาณการใช้น้ำต่อคนระหว่าง ปี 2566 กับ ปี 2567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_(* #,##0.00_);_(* \(#,##0.00\);_(* "-"??_);_(@_)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B5D-4A58-8BED-394200FB6B5C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_(* #,##0.00_);_(* \(#,##0.00\);_(* "-"??_);_(@_)</c:formatCode>
                <c:ptCount val="13"/>
                <c:pt idx="0">
                  <c:v>3.0631578947368423</c:v>
                </c:pt>
                <c:pt idx="1">
                  <c:v>4.9189473684209304</c:v>
                </c:pt>
                <c:pt idx="2">
                  <c:v>5.3431578947365974</c:v>
                </c:pt>
                <c:pt idx="3">
                  <c:v>4.7610526315788251</c:v>
                </c:pt>
                <c:pt idx="4">
                  <c:v>4.3021052631580172</c:v>
                </c:pt>
                <c:pt idx="5">
                  <c:v>3.8842105263157896</c:v>
                </c:pt>
                <c:pt idx="6">
                  <c:v>4.8642105263161568</c:v>
                </c:pt>
                <c:pt idx="7">
                  <c:v>3.6694736842102813</c:v>
                </c:pt>
                <c:pt idx="8">
                  <c:v>3.7421052631578946</c:v>
                </c:pt>
                <c:pt idx="9">
                  <c:v>4.8799999999997548</c:v>
                </c:pt>
                <c:pt idx="10">
                  <c:v>5.3484210526319469</c:v>
                </c:pt>
                <c:pt idx="11">
                  <c:v>10.869473684210281</c:v>
                </c:pt>
                <c:pt idx="12">
                  <c:v>4.970526315789443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B5D-4A58-8BED-394200FB6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375623"/>
        <c:axId val="301061127"/>
      </c:barChart>
      <c:catAx>
        <c:axId val="2753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127"/>
        <c:crosses val="autoZero"/>
        <c:auto val="1"/>
        <c:lblAlgn val="ctr"/>
        <c:lblOffset val="100"/>
        <c:noMultiLvlLbl val="0"/>
      </c:catAx>
      <c:valAx>
        <c:axId val="301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B-4A7B-8057-2E3316CE7C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('2567'!$C$18,'2567'!$G$18)</c:f>
              <c:numCache>
                <c:formatCode>_(* #,##0.00_);_(* \(#,##0.00\);_(* "-"??_);_(@_)</c:formatCode>
                <c:ptCount val="2"/>
                <c:pt idx="0">
                  <c:v>5523</c:v>
                </c:pt>
                <c:pt idx="1">
                  <c:v>5666.3999999999651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B-4A7B-8057-2E3316CE7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03151"/>
        <c:axId val="656894031"/>
      </c:barChart>
      <c:catAx>
        <c:axId val="6569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4031"/>
        <c:crosses val="autoZero"/>
        <c:auto val="1"/>
        <c:lblAlgn val="ctr"/>
        <c:lblOffset val="100"/>
        <c:noMultiLvlLbl val="0"/>
      </c:catAx>
      <c:valAx>
        <c:axId val="656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B9-4C7F-9567-4EBC4D610F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('2567'!$E$4,'2567'!$I$4)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('2567'!$E$18,'2567'!$I$18)</c:f>
              <c:numCache>
                <c:formatCode>_(* #,##0.00_);_(* \(#,##0.00\);_(* "-"??_);_(@_)</c:formatCode>
                <c:ptCount val="2"/>
                <c:pt idx="0">
                  <c:v>58.755319148936167</c:v>
                </c:pt>
                <c:pt idx="1">
                  <c:v>59.64631578947332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9-4C7F-9567-4EBC4D610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26576"/>
        <c:axId val="893328496"/>
      </c:barChart>
      <c:catAx>
        <c:axId val="893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8496"/>
        <c:crosses val="autoZero"/>
        <c:auto val="1"/>
        <c:lblAlgn val="ctr"/>
        <c:lblOffset val="100"/>
        <c:noMultiLvlLbl val="0"/>
      </c:catAx>
      <c:valAx>
        <c:axId val="893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56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3-4A69-83BF-7F9604F8C66F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3-4A69-83BF-7F9604F8C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974992"/>
        <c:axId val="1"/>
      </c:barChart>
      <c:catAx>
        <c:axId val="1900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0974992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24901943436E-2"/>
          <c:y val="0.89605268666570048"/>
          <c:w val="0.80927452888613649"/>
          <c:h val="8.86875030191778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4-4ED4-841B-C1AC82DDB7E1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4-4ED4-841B-C1AC82DD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103472"/>
        <c:axId val="1"/>
      </c:barChart>
      <c:catAx>
        <c:axId val="19061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3472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1344514139"/>
          <c:y val="0.92770291371806368"/>
          <c:w val="0.86049171819624248"/>
          <c:h val="5.6605867304561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5999549136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7-419D-AA42-0BA22BE1BE5D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ADD7-419D-AA42-0BA22BE1BE5D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D7-419D-AA42-0BA22BE1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102512"/>
        <c:axId val="1"/>
      </c:barChart>
      <c:catAx>
        <c:axId val="19061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2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3333333333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1A-40E7-B89A-EFD73C0ABC47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61A-40E7-B89A-EFD73C0ABC47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1A-40E7-B89A-EFD73C0AB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64272"/>
        <c:axId val="1"/>
      </c:barChart>
      <c:catAx>
        <c:axId val="11011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01164272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เปรียบเทียบปริมาณการใช้น้ำระหว่างปี 2557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887292213473316"/>
          <c:y val="0.16097295129775446"/>
          <c:w val="0.82834930008748908"/>
          <c:h val="0.6158869203849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(หน่วย)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_(* #,##0.00_);_(* \(#,##0.00\);_(* "-"??_);_(@_)</c:formatCode>
                <c:ptCount val="13"/>
                <c:pt idx="0">
                  <c:v>291</c:v>
                </c:pt>
                <c:pt idx="1">
                  <c:v>467.29999999998836</c:v>
                </c:pt>
                <c:pt idx="2">
                  <c:v>507.59999999997672</c:v>
                </c:pt>
                <c:pt idx="3">
                  <c:v>452.29999999998836</c:v>
                </c:pt>
                <c:pt idx="4">
                  <c:v>408.70000000001164</c:v>
                </c:pt>
                <c:pt idx="5">
                  <c:v>369</c:v>
                </c:pt>
                <c:pt idx="6">
                  <c:v>462.10000000003492</c:v>
                </c:pt>
                <c:pt idx="7">
                  <c:v>348.59999999997672</c:v>
                </c:pt>
                <c:pt idx="8">
                  <c:v>355.5</c:v>
                </c:pt>
                <c:pt idx="9">
                  <c:v>463.59999999997672</c:v>
                </c:pt>
                <c:pt idx="10">
                  <c:v>508.10000000003492</c:v>
                </c:pt>
                <c:pt idx="11">
                  <c:v>1032.5999999999767</c:v>
                </c:pt>
                <c:pt idx="12">
                  <c:v>472.19999999999709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9-4301-9DDC-05E8270DD5E9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(หน่วย)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_(* #,##0.00_);_(* \(#,##0.00\);_(* "-"??_);_(@_)</c:formatCode>
                <c:ptCount val="13"/>
                <c:pt idx="0">
                  <c:v>939</c:v>
                </c:pt>
                <c:pt idx="1">
                  <c:v>447.5</c:v>
                </c:pt>
                <c:pt idx="2">
                  <c:v>555</c:v>
                </c:pt>
                <c:pt idx="3">
                  <c:v>594.60000000003492</c:v>
                </c:pt>
                <c:pt idx="4">
                  <c:v>697.29999999998836</c:v>
                </c:pt>
                <c:pt idx="5">
                  <c:v>662.70000000001164</c:v>
                </c:pt>
                <c:pt idx="6">
                  <c:v>642.69999999995343</c:v>
                </c:pt>
                <c:pt idx="7">
                  <c:v>696.5</c:v>
                </c:pt>
                <c:pt idx="8">
                  <c:v>734.10000000003492</c:v>
                </c:pt>
                <c:pt idx="9">
                  <c:v>599.39999999996508</c:v>
                </c:pt>
                <c:pt idx="10">
                  <c:v>840.60000000003492</c:v>
                </c:pt>
                <c:pt idx="11">
                  <c:v>928.09999999997672</c:v>
                </c:pt>
                <c:pt idx="12">
                  <c:v>694.79166666666663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9-4301-9DDC-05E8270DD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5632"/>
        <c:axId val="1801008032"/>
      </c:barChart>
      <c:catAx>
        <c:axId val="180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8032"/>
        <c:crosses val="autoZero"/>
        <c:auto val="1"/>
        <c:lblAlgn val="ctr"/>
        <c:lblOffset val="100"/>
        <c:noMultiLvlLbl val="0"/>
      </c:catAx>
      <c:valAx>
        <c:axId val="18010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เปรียบเทียบปริมาณการใช้น้ำต่อคนระหว่าง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(หน่วย/คน)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_(* #,##0.00_);_(* \(#,##0.00\);_(* "-"??_);_(@_)</c:formatCode>
                <c:ptCount val="13"/>
                <c:pt idx="0">
                  <c:v>3.0631578947368423</c:v>
                </c:pt>
                <c:pt idx="1">
                  <c:v>4.9189473684209304</c:v>
                </c:pt>
                <c:pt idx="2">
                  <c:v>5.3431578947365974</c:v>
                </c:pt>
                <c:pt idx="3">
                  <c:v>4.7610526315788251</c:v>
                </c:pt>
                <c:pt idx="4">
                  <c:v>4.3021052631580172</c:v>
                </c:pt>
                <c:pt idx="5">
                  <c:v>3.8842105263157896</c:v>
                </c:pt>
                <c:pt idx="6">
                  <c:v>4.8642105263161568</c:v>
                </c:pt>
                <c:pt idx="7">
                  <c:v>3.6694736842102813</c:v>
                </c:pt>
                <c:pt idx="8">
                  <c:v>3.7421052631578946</c:v>
                </c:pt>
                <c:pt idx="9">
                  <c:v>4.8799999999997548</c:v>
                </c:pt>
                <c:pt idx="10">
                  <c:v>5.3484210526319469</c:v>
                </c:pt>
                <c:pt idx="11">
                  <c:v>10.869473684210281</c:v>
                </c:pt>
                <c:pt idx="12">
                  <c:v>4.970526315789443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A-4AAC-9F40-C29789EE4F01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(หน่วย/คน)ปี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_(* #,##0.00_);_(* \(#,##0.00\);_(* "-"??_);_(@_)</c:formatCode>
                <c:ptCount val="13"/>
                <c:pt idx="0">
                  <c:v>9.8842105263157887</c:v>
                </c:pt>
                <c:pt idx="1">
                  <c:v>4.7105263157894735</c:v>
                </c:pt>
                <c:pt idx="2">
                  <c:v>5.8421052631578947</c:v>
                </c:pt>
                <c:pt idx="3">
                  <c:v>6.2589473684214205</c:v>
                </c:pt>
                <c:pt idx="4">
                  <c:v>7.3399999999998773</c:v>
                </c:pt>
                <c:pt idx="5">
                  <c:v>6.9757894736843333</c:v>
                </c:pt>
                <c:pt idx="6">
                  <c:v>6.765263157894247</c:v>
                </c:pt>
                <c:pt idx="7">
                  <c:v>7.3315789473684214</c:v>
                </c:pt>
                <c:pt idx="8">
                  <c:v>7.7273684210529989</c:v>
                </c:pt>
                <c:pt idx="9">
                  <c:v>6.3094736842101584</c:v>
                </c:pt>
                <c:pt idx="10">
                  <c:v>8.8484210526319469</c:v>
                </c:pt>
                <c:pt idx="11">
                  <c:v>9.769473684210281</c:v>
                </c:pt>
                <c:pt idx="12">
                  <c:v>7.3135964912280702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4A-4AAC-9F40-C29789EE4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375623"/>
        <c:axId val="301061127"/>
      </c:barChart>
      <c:catAx>
        <c:axId val="2753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127"/>
        <c:crosses val="autoZero"/>
        <c:auto val="1"/>
        <c:lblAlgn val="ctr"/>
        <c:lblOffset val="100"/>
        <c:noMultiLvlLbl val="0"/>
      </c:catAx>
      <c:valAx>
        <c:axId val="301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63F-4E78-A41C-B15EB730D0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(หน่วย) ปี2567</c:v>
                </c:pt>
                <c:pt idx="1">
                  <c:v>(หน่วย) ปี 2568</c:v>
                </c:pt>
              </c:strCache>
            </c:strRef>
          </c:cat>
          <c:val>
            <c:numRef>
              <c:f>('2568'!$C$18,'2568'!$G$18)</c:f>
              <c:numCache>
                <c:formatCode>_(* #,##0.00_);_(* \(#,##0.00\);_(* "-"??_);_(@_)</c:formatCode>
                <c:ptCount val="2"/>
                <c:pt idx="0">
                  <c:v>5666.3999999999651</c:v>
                </c:pt>
                <c:pt idx="1">
                  <c:v>8337.5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F-4E78-A41C-B15EB730D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03151"/>
        <c:axId val="656894031"/>
      </c:barChart>
      <c:catAx>
        <c:axId val="6569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4031"/>
        <c:crosses val="autoZero"/>
        <c:auto val="1"/>
        <c:lblAlgn val="ctr"/>
        <c:lblOffset val="100"/>
        <c:noMultiLvlLbl val="0"/>
      </c:catAx>
      <c:valAx>
        <c:axId val="656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4C-431A-87A2-3ABD8689FF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(หน่วย/คน) ปี2567</c:v>
                </c:pt>
                <c:pt idx="1">
                  <c:v>(หน่วย/คน)ปี 2568</c:v>
                </c:pt>
              </c:strCache>
            </c:strRef>
          </c:cat>
          <c:val>
            <c:numRef>
              <c:f>('2568'!$E$18,'2568'!$I$18)</c:f>
              <c:numCache>
                <c:formatCode>_(* #,##0.00_);_(* \(#,##0.00\);_(* "-"??_);_(@_)</c:formatCode>
                <c:ptCount val="2"/>
                <c:pt idx="0">
                  <c:v>59.64631578947332</c:v>
                </c:pt>
                <c:pt idx="1">
                  <c:v>87.76315789473685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C-431A-87A2-3ABD8689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26576"/>
        <c:axId val="893328496"/>
      </c:barChart>
      <c:catAx>
        <c:axId val="893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8496"/>
        <c:crosses val="autoZero"/>
        <c:auto val="1"/>
        <c:lblAlgn val="ctr"/>
        <c:lblOffset val="100"/>
        <c:noMultiLvlLbl val="0"/>
      </c:catAx>
      <c:valAx>
        <c:axId val="893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9525</xdr:rowOff>
    </xdr:from>
    <xdr:to>
      <xdr:col>8</xdr:col>
      <xdr:colOff>238125</xdr:colOff>
      <xdr:row>30</xdr:row>
      <xdr:rowOff>85725</xdr:rowOff>
    </xdr:to>
    <xdr:graphicFrame macro="">
      <xdr:nvGraphicFramePr>
        <xdr:cNvPr id="101505" name="แผนภูมิ 1">
          <a:extLst>
            <a:ext uri="{FF2B5EF4-FFF2-40B4-BE49-F238E27FC236}">
              <a16:creationId xmlns:a16="http://schemas.microsoft.com/office/drawing/2014/main" id="{31B92253-8831-93B8-18D8-F71D51CA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101506" name="แผนภูมิ 2">
          <a:extLst>
            <a:ext uri="{FF2B5EF4-FFF2-40B4-BE49-F238E27FC236}">
              <a16:creationId xmlns:a16="http://schemas.microsoft.com/office/drawing/2014/main" id="{D43D7D1C-6A85-2C14-B297-592D3CE3D9EA}"/>
            </a:ext>
            <a:ext uri="{147F2762-F138-4A5C-976F-8EAC2B608ADB}">
              <a16:predDERef xmlns:a16="http://schemas.microsoft.com/office/drawing/2014/main" pred="{31B92253-8831-93B8-18D8-F71D51CA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101507" name="แผนภูมิ 3">
          <a:extLst>
            <a:ext uri="{FF2B5EF4-FFF2-40B4-BE49-F238E27FC236}">
              <a16:creationId xmlns:a16="http://schemas.microsoft.com/office/drawing/2014/main" id="{5C161943-2CFF-E31A-0E07-89D142DF76B6}"/>
            </a:ext>
            <a:ext uri="{147F2762-F138-4A5C-976F-8EAC2B608ADB}">
              <a16:predDERef xmlns:a16="http://schemas.microsoft.com/office/drawing/2014/main" pred="{D43D7D1C-6A85-2C14-B297-592D3CE3D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101508" name="แผนภูมิ 4">
          <a:extLst>
            <a:ext uri="{FF2B5EF4-FFF2-40B4-BE49-F238E27FC236}">
              <a16:creationId xmlns:a16="http://schemas.microsoft.com/office/drawing/2014/main" id="{1386E314-C66D-3B45-0C2A-2E0C6157A450}"/>
            </a:ext>
            <a:ext uri="{147F2762-F138-4A5C-976F-8EAC2B608ADB}">
              <a16:predDERef xmlns:a16="http://schemas.microsoft.com/office/drawing/2014/main" pred="{5C161943-2CFF-E31A-0E07-89D142DF7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10581</xdr:colOff>
      <xdr:row>19</xdr:row>
      <xdr:rowOff>9523</xdr:rowOff>
    </xdr:from>
    <xdr:to>
      <xdr:col>8</xdr:col>
      <xdr:colOff>206373</xdr:colOff>
      <xdr:row>30</xdr:row>
      <xdr:rowOff>84665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5791D378-C4D7-8EA4-9E34-79C7C5FB3FE6}"/>
            </a:ext>
            <a:ext uri="{147F2762-F138-4A5C-976F-8EAC2B608ADB}">
              <a16:predDERef xmlns:a16="http://schemas.microsoft.com/office/drawing/2014/main" pred="{1386E314-C66D-3B45-0C2A-2E0C6157A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58509</xdr:colOff>
      <xdr:row>30</xdr:row>
      <xdr:rowOff>111579</xdr:rowOff>
    </xdr:from>
    <xdr:to>
      <xdr:col>8</xdr:col>
      <xdr:colOff>204107</xdr:colOff>
      <xdr:row>41</xdr:row>
      <xdr:rowOff>102054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F6A53-1384-27C2-359C-2A7F64D26FFD}"/>
            </a:ext>
            <a:ext uri="{147F2762-F138-4A5C-976F-8EAC2B608ADB}">
              <a16:predDERef xmlns:a16="http://schemas.microsoft.com/office/drawing/2014/main" pred="{5791D378-C4D7-8EA4-9E34-79C7C5FB3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258535</xdr:colOff>
      <xdr:row>19</xdr:row>
      <xdr:rowOff>29934</xdr:rowOff>
    </xdr:from>
    <xdr:to>
      <xdr:col>11</xdr:col>
      <xdr:colOff>544285</xdr:colOff>
      <xdr:row>30</xdr:row>
      <xdr:rowOff>108856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89E638F-1422-BA30-4816-89B59BCA16DA}"/>
            </a:ext>
            <a:ext uri="{147F2762-F138-4A5C-976F-8EAC2B608ADB}">
              <a16:predDERef xmlns:a16="http://schemas.microsoft.com/office/drawing/2014/main" pred="{8F6F6A53-1384-27C2-359C-2A7F64D26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258536</xdr:colOff>
      <xdr:row>30</xdr:row>
      <xdr:rowOff>138793</xdr:rowOff>
    </xdr:from>
    <xdr:to>
      <xdr:col>11</xdr:col>
      <xdr:colOff>557892</xdr:colOff>
      <xdr:row>41</xdr:row>
      <xdr:rowOff>95250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766DDFB3-D721-A3D1-B867-8FA66EE4DAA7}"/>
            </a:ext>
            <a:ext uri="{147F2762-F138-4A5C-976F-8EAC2B608ADB}">
              <a16:predDERef xmlns:a16="http://schemas.microsoft.com/office/drawing/2014/main" pred="{089E638F-1422-BA30-4816-89B59BCA1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9525</xdr:rowOff>
    </xdr:from>
    <xdr:to>
      <xdr:col>8</xdr:col>
      <xdr:colOff>238125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23A8D6A9-A4F8-446C-B382-4772C6A5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F1431417-7A72-4F9A-A098-BC06D2A52796}"/>
            </a:ext>
            <a:ext uri="{147F2762-F138-4A5C-976F-8EAC2B608ADB}">
              <a16:predDERef xmlns:a16="http://schemas.microsoft.com/office/drawing/2014/main" pred="{23A8D6A9-A4F8-446C-B382-4772C6A5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F984C003-814E-43C3-B182-6360B7D994E1}"/>
            </a:ext>
            <a:ext uri="{147F2762-F138-4A5C-976F-8EAC2B608ADB}">
              <a16:predDERef xmlns:a16="http://schemas.microsoft.com/office/drawing/2014/main" pred="{F1431417-7A72-4F9A-A098-BC06D2A52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C76CB6B-E15D-4FF5-BB40-B394B81787C5}"/>
            </a:ext>
            <a:ext uri="{147F2762-F138-4A5C-976F-8EAC2B608ADB}">
              <a16:predDERef xmlns:a16="http://schemas.microsoft.com/office/drawing/2014/main" pred="{F984C003-814E-43C3-B182-6360B7D9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10581</xdr:colOff>
      <xdr:row>19</xdr:row>
      <xdr:rowOff>9523</xdr:rowOff>
    </xdr:from>
    <xdr:to>
      <xdr:col>8</xdr:col>
      <xdr:colOff>206373</xdr:colOff>
      <xdr:row>30</xdr:row>
      <xdr:rowOff>84665</xdr:rowOff>
    </xdr:to>
    <xdr:graphicFrame macro="">
      <xdr:nvGraphicFramePr>
        <xdr:cNvPr id="6" name="แผนภูมิ 1">
          <a:extLst>
            <a:ext uri="{FF2B5EF4-FFF2-40B4-BE49-F238E27FC236}">
              <a16:creationId xmlns:a16="http://schemas.microsoft.com/office/drawing/2014/main" id="{19B0336C-70FD-481F-BC87-7AABDFEE6D12}"/>
            </a:ext>
            <a:ext uri="{147F2762-F138-4A5C-976F-8EAC2B608ADB}">
              <a16:predDERef xmlns:a16="http://schemas.microsoft.com/office/drawing/2014/main" pred="{6C76CB6B-E15D-4FF5-BB40-B394B8178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58509</xdr:colOff>
      <xdr:row>30</xdr:row>
      <xdr:rowOff>111579</xdr:rowOff>
    </xdr:from>
    <xdr:to>
      <xdr:col>8</xdr:col>
      <xdr:colOff>204107</xdr:colOff>
      <xdr:row>41</xdr:row>
      <xdr:rowOff>102054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B3AE6F7E-E3D2-4636-80E4-663E0C648EF3}"/>
            </a:ext>
            <a:ext uri="{147F2762-F138-4A5C-976F-8EAC2B608ADB}">
              <a16:predDERef xmlns:a16="http://schemas.microsoft.com/office/drawing/2014/main" pred="{19B0336C-70FD-481F-BC87-7AABDFEE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258535</xdr:colOff>
      <xdr:row>19</xdr:row>
      <xdr:rowOff>29934</xdr:rowOff>
    </xdr:from>
    <xdr:to>
      <xdr:col>11</xdr:col>
      <xdr:colOff>544285</xdr:colOff>
      <xdr:row>30</xdr:row>
      <xdr:rowOff>108856</xdr:rowOff>
    </xdr:to>
    <xdr:graphicFrame macro="">
      <xdr:nvGraphicFramePr>
        <xdr:cNvPr id="8" name="แผนภูมิ 3">
          <a:extLst>
            <a:ext uri="{FF2B5EF4-FFF2-40B4-BE49-F238E27FC236}">
              <a16:creationId xmlns:a16="http://schemas.microsoft.com/office/drawing/2014/main" id="{FE1F4170-E477-4B36-88EB-6CB47B078158}"/>
            </a:ext>
            <a:ext uri="{147F2762-F138-4A5C-976F-8EAC2B608ADB}">
              <a16:predDERef xmlns:a16="http://schemas.microsoft.com/office/drawing/2014/main" pred="{B3AE6F7E-E3D2-4636-80E4-663E0C648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258536</xdr:colOff>
      <xdr:row>30</xdr:row>
      <xdr:rowOff>138793</xdr:rowOff>
    </xdr:from>
    <xdr:to>
      <xdr:col>11</xdr:col>
      <xdr:colOff>557892</xdr:colOff>
      <xdr:row>41</xdr:row>
      <xdr:rowOff>95250</xdr:rowOff>
    </xdr:to>
    <xdr:graphicFrame macro="">
      <xdr:nvGraphicFramePr>
        <xdr:cNvPr id="9" name="แผนภูมิ 4">
          <a:extLst>
            <a:ext uri="{FF2B5EF4-FFF2-40B4-BE49-F238E27FC236}">
              <a16:creationId xmlns:a16="http://schemas.microsoft.com/office/drawing/2014/main" id="{C74F3D29-E8F5-4741-B868-6A8D27873EAD}"/>
            </a:ext>
            <a:ext uri="{147F2762-F138-4A5C-976F-8EAC2B608ADB}">
              <a16:predDERef xmlns:a16="http://schemas.microsoft.com/office/drawing/2014/main" pred="{FE1F4170-E477-4B36-88EB-6CB47B078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ejo365-my.sharepoint.com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ไฟฟ้า"/>
      <sheetName val="น้ำมันเชื้อเพลิง"/>
      <sheetName val="น้ำ"/>
      <sheetName val="น้ำมันเชื้อเพลิง แยกทะเบียนรถ"/>
    </sheetNames>
    <sheetDataSet>
      <sheetData sheetId="0" refreshError="1"/>
      <sheetData sheetId="1" refreshError="1"/>
      <sheetData sheetId="2">
        <row r="4">
          <cell r="C4" t="str">
            <v xml:space="preserve"> (หน่วย) ปี2566</v>
          </cell>
          <cell r="E4" t="str">
            <v>(หน่วย/คน) ปี2566</v>
          </cell>
          <cell r="G4" t="str">
            <v>(หน่วย) ปี 2567</v>
          </cell>
          <cell r="I4" t="str">
            <v>(หน่วย/คน)ปี 2567</v>
          </cell>
        </row>
        <row r="5">
          <cell r="A5" t="str">
            <v>ม.ค.</v>
          </cell>
          <cell r="C5">
            <v>422</v>
          </cell>
          <cell r="E5">
            <v>4.4893617021276597</v>
          </cell>
          <cell r="G5">
            <v>291</v>
          </cell>
          <cell r="I5">
            <v>3.0957446808510638</v>
          </cell>
        </row>
        <row r="6">
          <cell r="A6" t="str">
            <v>ก.พ.</v>
          </cell>
          <cell r="C6">
            <v>396</v>
          </cell>
          <cell r="E6">
            <v>4.2127659574468082</v>
          </cell>
          <cell r="G6">
            <v>467.3</v>
          </cell>
          <cell r="I6">
            <v>4.9712765957446807</v>
          </cell>
        </row>
        <row r="7">
          <cell r="A7" t="str">
            <v>มี.ค.</v>
          </cell>
          <cell r="C7">
            <v>776</v>
          </cell>
          <cell r="E7">
            <v>8.2553191489361701</v>
          </cell>
          <cell r="G7">
            <v>507.6</v>
          </cell>
          <cell r="I7">
            <v>5.4</v>
          </cell>
        </row>
        <row r="8">
          <cell r="A8" t="str">
            <v>เม.ย.</v>
          </cell>
          <cell r="C8">
            <v>548</v>
          </cell>
          <cell r="E8">
            <v>5.8297872340425529</v>
          </cell>
          <cell r="G8">
            <v>452.3</v>
          </cell>
          <cell r="I8">
            <v>4.8117021276595748</v>
          </cell>
        </row>
        <row r="9">
          <cell r="A9" t="str">
            <v>พ.ค.</v>
          </cell>
          <cell r="C9">
            <v>411</v>
          </cell>
          <cell r="E9">
            <v>4.3723404255319149</v>
          </cell>
          <cell r="G9">
            <v>408.7</v>
          </cell>
          <cell r="I9">
            <v>4.3478723404255319</v>
          </cell>
        </row>
        <row r="10">
          <cell r="A10" t="str">
            <v>มิ.ย.</v>
          </cell>
          <cell r="C10">
            <v>334</v>
          </cell>
          <cell r="E10">
            <v>3.5531914893617023</v>
          </cell>
          <cell r="G10">
            <v>0</v>
          </cell>
          <cell r="I10">
            <v>0</v>
          </cell>
        </row>
        <row r="11">
          <cell r="A11" t="str">
            <v>ก.ค.</v>
          </cell>
          <cell r="C11">
            <v>519</v>
          </cell>
          <cell r="E11">
            <v>5.5212765957446805</v>
          </cell>
          <cell r="G11">
            <v>0</v>
          </cell>
          <cell r="I11">
            <v>0</v>
          </cell>
        </row>
        <row r="12">
          <cell r="A12" t="str">
            <v>ส.ค.</v>
          </cell>
          <cell r="C12">
            <v>505</v>
          </cell>
          <cell r="E12">
            <v>5.3723404255319149</v>
          </cell>
          <cell r="G12">
            <v>0</v>
          </cell>
          <cell r="I12">
            <v>0</v>
          </cell>
        </row>
        <row r="13">
          <cell r="A13" t="str">
            <v>ก.ย.</v>
          </cell>
          <cell r="C13">
            <v>379</v>
          </cell>
          <cell r="E13">
            <v>4.0319148936170217</v>
          </cell>
          <cell r="G13">
            <v>0</v>
          </cell>
          <cell r="I13">
            <v>0</v>
          </cell>
        </row>
        <row r="14">
          <cell r="A14" t="str">
            <v>ต.ค.</v>
          </cell>
          <cell r="C14">
            <v>412</v>
          </cell>
          <cell r="E14">
            <v>4.3829787234042552</v>
          </cell>
          <cell r="G14">
            <v>0</v>
          </cell>
          <cell r="I14">
            <v>0</v>
          </cell>
        </row>
        <row r="15">
          <cell r="A15" t="str">
            <v>พ.ย.</v>
          </cell>
          <cell r="C15">
            <v>472</v>
          </cell>
          <cell r="E15">
            <v>5.0212765957446805</v>
          </cell>
          <cell r="G15">
            <v>0</v>
          </cell>
          <cell r="I15">
            <v>0</v>
          </cell>
        </row>
        <row r="16">
          <cell r="A16" t="str">
            <v>ธ.ค.</v>
          </cell>
          <cell r="C16">
            <v>349</v>
          </cell>
          <cell r="E16">
            <v>3.7127659574468086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460.25</v>
          </cell>
          <cell r="E17">
            <v>4.8962765957446805</v>
          </cell>
          <cell r="G17">
            <v>177.24166666666667</v>
          </cell>
          <cell r="I17">
            <v>1.8855496453900711</v>
          </cell>
        </row>
        <row r="18">
          <cell r="C18">
            <v>5523</v>
          </cell>
          <cell r="E18">
            <v>58.755319148936167</v>
          </cell>
          <cell r="G18">
            <v>2126.9</v>
          </cell>
          <cell r="I18">
            <v>22.626595744680852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A696-3CB7-4F02-9E3B-E05B9A486B2E}">
  <dimension ref="A1:T98"/>
  <sheetViews>
    <sheetView topLeftCell="A36" zoomScale="80" zoomScaleNormal="80" workbookViewId="0">
      <selection activeCell="A43" sqref="A43:L47"/>
    </sheetView>
  </sheetViews>
  <sheetFormatPr defaultColWidth="9.140625" defaultRowHeight="21.75" customHeight="1" x14ac:dyDescent="0.35"/>
  <cols>
    <col min="1" max="1" width="16.42578125" style="13" customWidth="1"/>
    <col min="2" max="2" width="16.28515625" style="3" customWidth="1"/>
    <col min="3" max="3" width="12.5703125" style="3" customWidth="1"/>
    <col min="4" max="4" width="14.5703125" style="3" bestFit="1" customWidth="1"/>
    <col min="5" max="7" width="12.5703125" style="3" customWidth="1"/>
    <col min="8" max="8" width="13.42578125" style="3" customWidth="1"/>
    <col min="9" max="9" width="12.5703125" style="3" customWidth="1"/>
    <col min="10" max="10" width="13" style="3" customWidth="1"/>
    <col min="11" max="11" width="15.85546875" style="3" customWidth="1"/>
    <col min="12" max="12" width="9.140625" style="3"/>
    <col min="13" max="13" width="17.5703125" style="3" bestFit="1" customWidth="1"/>
    <col min="14" max="16" width="13.140625" style="3" customWidth="1"/>
    <col min="17" max="18" width="11.28515625" style="3" bestFit="1" customWidth="1"/>
    <col min="19" max="19" width="6.140625" style="3" bestFit="1" customWidth="1"/>
    <col min="20" max="16384" width="9.140625" style="3"/>
  </cols>
  <sheetData>
    <row r="1" spans="1:16" ht="21.75" customHeight="1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6" ht="21" customHeight="1" thickBot="1" x14ac:dyDescent="0.4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"/>
    </row>
    <row r="3" spans="1:16" s="5" customFormat="1" ht="21.6" customHeight="1" thickBot="1" x14ac:dyDescent="0.25">
      <c r="A3" s="44" t="s">
        <v>2</v>
      </c>
      <c r="B3" s="45" t="s">
        <v>3</v>
      </c>
      <c r="C3" s="45"/>
      <c r="D3" s="45"/>
      <c r="E3" s="45"/>
      <c r="F3" s="45" t="s">
        <v>4</v>
      </c>
      <c r="G3" s="45"/>
      <c r="H3" s="45"/>
      <c r="I3" s="45"/>
      <c r="J3" s="45" t="s">
        <v>5</v>
      </c>
      <c r="K3" s="45"/>
      <c r="M3" s="23" t="s">
        <v>6</v>
      </c>
      <c r="N3" s="24"/>
      <c r="O3" s="24"/>
      <c r="P3" s="24"/>
    </row>
    <row r="4" spans="1:16" s="5" customFormat="1" ht="54" customHeight="1" thickBot="1" x14ac:dyDescent="0.25">
      <c r="A4" s="44"/>
      <c r="B4" s="22" t="s">
        <v>7</v>
      </c>
      <c r="C4" s="22" t="s">
        <v>8</v>
      </c>
      <c r="D4" s="22" t="s">
        <v>9</v>
      </c>
      <c r="E4" s="22" t="s">
        <v>10</v>
      </c>
      <c r="F4" s="22" t="s">
        <v>7</v>
      </c>
      <c r="G4" s="22" t="s">
        <v>11</v>
      </c>
      <c r="H4" s="22" t="s">
        <v>9</v>
      </c>
      <c r="I4" s="22" t="s">
        <v>12</v>
      </c>
      <c r="J4" s="22" t="s">
        <v>13</v>
      </c>
      <c r="K4" s="22" t="s">
        <v>14</v>
      </c>
      <c r="M4" s="25"/>
      <c r="N4" s="25" t="s">
        <v>15</v>
      </c>
      <c r="O4" s="25" t="s">
        <v>16</v>
      </c>
      <c r="P4" s="25"/>
    </row>
    <row r="5" spans="1:16" ht="24.95" customHeight="1" x14ac:dyDescent="0.55000000000000004">
      <c r="A5" s="6" t="s">
        <v>17</v>
      </c>
      <c r="B5" s="7">
        <v>94</v>
      </c>
      <c r="C5" s="7">
        <v>422</v>
      </c>
      <c r="D5" s="7">
        <v>3376</v>
      </c>
      <c r="E5" s="8">
        <f>C5/B5</f>
        <v>4.4893617021276597</v>
      </c>
      <c r="F5" s="9">
        <v>95</v>
      </c>
      <c r="G5" s="9">
        <f>P5</f>
        <v>291</v>
      </c>
      <c r="H5" s="9">
        <f>G5*8</f>
        <v>2328</v>
      </c>
      <c r="I5" s="8">
        <f>G5/F5</f>
        <v>3.0631578947368423</v>
      </c>
      <c r="J5" s="19">
        <f>(G5-C5)/C5</f>
        <v>-0.31042654028436018</v>
      </c>
      <c r="K5" s="20">
        <f>(I5-E5)/E5</f>
        <v>-0.31768520828136693</v>
      </c>
      <c r="M5" s="26" t="s">
        <v>18</v>
      </c>
      <c r="N5" s="27">
        <v>272074.90000000002</v>
      </c>
      <c r="O5" s="27">
        <v>271783.90000000002</v>
      </c>
      <c r="P5" s="28">
        <f>N5-O5</f>
        <v>291</v>
      </c>
    </row>
    <row r="6" spans="1:16" ht="24.95" customHeight="1" x14ac:dyDescent="0.55000000000000004">
      <c r="A6" s="6" t="s">
        <v>19</v>
      </c>
      <c r="B6" s="7">
        <v>94</v>
      </c>
      <c r="C6" s="7">
        <v>396</v>
      </c>
      <c r="D6" s="7">
        <v>3168</v>
      </c>
      <c r="E6" s="8">
        <f t="shared" ref="E6:E16" si="0">C6/B6</f>
        <v>4.2127659574468082</v>
      </c>
      <c r="F6" s="9">
        <v>95</v>
      </c>
      <c r="G6" s="9">
        <f t="shared" ref="G6:G16" si="1">P6</f>
        <v>467.29999999998836</v>
      </c>
      <c r="H6" s="9">
        <f t="shared" ref="H6:H16" si="2">G6*8</f>
        <v>3738.3999999999069</v>
      </c>
      <c r="I6" s="8">
        <f t="shared" ref="I6:I16" si="3">G6/F6</f>
        <v>4.9189473684209304</v>
      </c>
      <c r="J6" s="19">
        <f t="shared" ref="J6:J18" si="4">(G6-C6)/C6</f>
        <v>0.18005050505047565</v>
      </c>
      <c r="K6" s="20">
        <f>(I6-E6)/E6</f>
        <v>0.16762892078678659</v>
      </c>
      <c r="M6" s="26" t="s">
        <v>20</v>
      </c>
      <c r="N6" s="27">
        <v>272542.2</v>
      </c>
      <c r="O6" s="27">
        <v>272074.90000000002</v>
      </c>
      <c r="P6" s="28">
        <f t="shared" ref="P6:P16" si="5">N6-O6</f>
        <v>467.29999999998836</v>
      </c>
    </row>
    <row r="7" spans="1:16" ht="24.95" customHeight="1" x14ac:dyDescent="0.55000000000000004">
      <c r="A7" s="6" t="s">
        <v>21</v>
      </c>
      <c r="B7" s="7">
        <v>94</v>
      </c>
      <c r="C7" s="7">
        <v>776</v>
      </c>
      <c r="D7" s="7">
        <v>6208</v>
      </c>
      <c r="E7" s="8">
        <f t="shared" si="0"/>
        <v>8.2553191489361701</v>
      </c>
      <c r="F7" s="9">
        <v>95</v>
      </c>
      <c r="G7" s="9">
        <f t="shared" si="1"/>
        <v>507.59999999997672</v>
      </c>
      <c r="H7" s="9">
        <f t="shared" si="2"/>
        <v>4060.7999999998137</v>
      </c>
      <c r="I7" s="8">
        <f t="shared" si="3"/>
        <v>5.3431578947365974</v>
      </c>
      <c r="J7" s="19">
        <f t="shared" si="4"/>
        <v>-0.34587628865982384</v>
      </c>
      <c r="K7" s="20">
        <f t="shared" ref="K7:K18" si="6">(I7-E7)/E7</f>
        <v>-0.35276180141077301</v>
      </c>
      <c r="M7" s="26" t="s">
        <v>22</v>
      </c>
      <c r="N7" s="28">
        <v>273049.8</v>
      </c>
      <c r="O7" s="27">
        <v>272542.2</v>
      </c>
      <c r="P7" s="28">
        <f t="shared" si="5"/>
        <v>507.59999999997672</v>
      </c>
    </row>
    <row r="8" spans="1:16" ht="24.95" customHeight="1" x14ac:dyDescent="0.55000000000000004">
      <c r="A8" s="6" t="s">
        <v>23</v>
      </c>
      <c r="B8" s="7">
        <v>94</v>
      </c>
      <c r="C8" s="7">
        <v>548</v>
      </c>
      <c r="D8" s="7">
        <v>4384</v>
      </c>
      <c r="E8" s="8">
        <f t="shared" si="0"/>
        <v>5.8297872340425529</v>
      </c>
      <c r="F8" s="9">
        <v>95</v>
      </c>
      <c r="G8" s="9">
        <f t="shared" si="1"/>
        <v>452.29999999998836</v>
      </c>
      <c r="H8" s="9">
        <f t="shared" si="2"/>
        <v>3618.3999999999069</v>
      </c>
      <c r="I8" s="8">
        <f t="shared" si="3"/>
        <v>4.7610526315788251</v>
      </c>
      <c r="J8" s="19">
        <f t="shared" si="4"/>
        <v>-0.1746350364963716</v>
      </c>
      <c r="K8" s="20">
        <f t="shared" si="6"/>
        <v>-0.18332308874377815</v>
      </c>
      <c r="M8" s="26" t="s">
        <v>24</v>
      </c>
      <c r="N8" s="28">
        <v>273502.09999999998</v>
      </c>
      <c r="O8" s="28">
        <v>273049.8</v>
      </c>
      <c r="P8" s="28">
        <f t="shared" si="5"/>
        <v>452.29999999998836</v>
      </c>
    </row>
    <row r="9" spans="1:16" ht="24.95" customHeight="1" x14ac:dyDescent="0.55000000000000004">
      <c r="A9" s="6" t="s">
        <v>25</v>
      </c>
      <c r="B9" s="7">
        <v>94</v>
      </c>
      <c r="C9" s="7">
        <v>411</v>
      </c>
      <c r="D9" s="7">
        <v>3288</v>
      </c>
      <c r="E9" s="8">
        <f t="shared" si="0"/>
        <v>4.3723404255319149</v>
      </c>
      <c r="F9" s="9">
        <v>95</v>
      </c>
      <c r="G9" s="9">
        <f t="shared" si="1"/>
        <v>408.70000000001164</v>
      </c>
      <c r="H9" s="9">
        <f t="shared" si="2"/>
        <v>3269.6000000000931</v>
      </c>
      <c r="I9" s="8">
        <f t="shared" si="3"/>
        <v>4.3021052631580172</v>
      </c>
      <c r="J9" s="19">
        <f t="shared" si="4"/>
        <v>-5.5961070559327458E-3</v>
      </c>
      <c r="K9" s="20">
        <f t="shared" si="6"/>
        <v>-1.6063516455344002E-2</v>
      </c>
      <c r="M9" s="26" t="s">
        <v>26</v>
      </c>
      <c r="N9" s="28">
        <v>273910.8</v>
      </c>
      <c r="O9" s="28">
        <v>273502.09999999998</v>
      </c>
      <c r="P9" s="28">
        <f t="shared" si="5"/>
        <v>408.70000000001164</v>
      </c>
    </row>
    <row r="10" spans="1:16" ht="24.95" customHeight="1" x14ac:dyDescent="0.55000000000000004">
      <c r="A10" s="6" t="s">
        <v>27</v>
      </c>
      <c r="B10" s="7">
        <v>94</v>
      </c>
      <c r="C10" s="7">
        <v>334</v>
      </c>
      <c r="D10" s="7">
        <v>2672</v>
      </c>
      <c r="E10" s="8">
        <f t="shared" si="0"/>
        <v>3.5531914893617023</v>
      </c>
      <c r="F10" s="9">
        <v>95</v>
      </c>
      <c r="G10" s="9">
        <f t="shared" si="1"/>
        <v>369</v>
      </c>
      <c r="H10" s="9">
        <f>G10*8</f>
        <v>2952</v>
      </c>
      <c r="I10" s="8">
        <f t="shared" si="3"/>
        <v>3.8842105263157896</v>
      </c>
      <c r="J10" s="19">
        <f t="shared" si="4"/>
        <v>0.10479041916167664</v>
      </c>
      <c r="K10" s="20">
        <f t="shared" si="6"/>
        <v>9.3161046328395822E-2</v>
      </c>
      <c r="M10" s="26" t="s">
        <v>28</v>
      </c>
      <c r="N10" s="28">
        <v>274279.8</v>
      </c>
      <c r="O10" s="28">
        <v>273910.8</v>
      </c>
      <c r="P10" s="28">
        <f t="shared" si="5"/>
        <v>369</v>
      </c>
    </row>
    <row r="11" spans="1:16" ht="24.95" customHeight="1" x14ac:dyDescent="0.55000000000000004">
      <c r="A11" s="6" t="s">
        <v>29</v>
      </c>
      <c r="B11" s="7">
        <v>94</v>
      </c>
      <c r="C11" s="7">
        <v>519</v>
      </c>
      <c r="D11" s="7">
        <v>4152</v>
      </c>
      <c r="E11" s="8">
        <f t="shared" si="0"/>
        <v>5.5212765957446805</v>
      </c>
      <c r="F11" s="9">
        <v>95</v>
      </c>
      <c r="G11" s="9">
        <f t="shared" si="1"/>
        <v>462.10000000003492</v>
      </c>
      <c r="H11" s="9">
        <f>G11*8</f>
        <v>3696.8000000002794</v>
      </c>
      <c r="I11" s="8">
        <f t="shared" si="3"/>
        <v>4.8642105263161568</v>
      </c>
      <c r="J11" s="19">
        <f t="shared" si="4"/>
        <v>-0.10963391136794812</v>
      </c>
      <c r="K11" s="20">
        <f t="shared" si="6"/>
        <v>-0.11900618598512762</v>
      </c>
      <c r="M11" s="26" t="s">
        <v>30</v>
      </c>
      <c r="N11" s="30">
        <v>274741.90000000002</v>
      </c>
      <c r="O11" s="28">
        <v>274279.8</v>
      </c>
      <c r="P11" s="28">
        <f t="shared" si="5"/>
        <v>462.10000000003492</v>
      </c>
    </row>
    <row r="12" spans="1:16" ht="24.95" customHeight="1" x14ac:dyDescent="0.55000000000000004">
      <c r="A12" s="6" t="s">
        <v>31</v>
      </c>
      <c r="B12" s="7">
        <v>94</v>
      </c>
      <c r="C12" s="7">
        <v>505</v>
      </c>
      <c r="D12" s="7">
        <v>4040</v>
      </c>
      <c r="E12" s="8">
        <f t="shared" si="0"/>
        <v>5.3723404255319149</v>
      </c>
      <c r="F12" s="9">
        <v>95</v>
      </c>
      <c r="G12" s="9">
        <f t="shared" si="1"/>
        <v>348.59999999997672</v>
      </c>
      <c r="H12" s="9">
        <f t="shared" si="2"/>
        <v>2788.7999999998137</v>
      </c>
      <c r="I12" s="8">
        <f t="shared" si="3"/>
        <v>3.6694736842102813</v>
      </c>
      <c r="J12" s="19">
        <f t="shared" si="4"/>
        <v>-0.30970297029707583</v>
      </c>
      <c r="K12" s="20">
        <f t="shared" si="6"/>
        <v>-0.3169692548202645</v>
      </c>
      <c r="M12" s="26" t="s">
        <v>32</v>
      </c>
      <c r="N12" s="30">
        <v>275090.5</v>
      </c>
      <c r="O12" s="30">
        <v>274741.90000000002</v>
      </c>
      <c r="P12" s="28">
        <f t="shared" si="5"/>
        <v>348.59999999997672</v>
      </c>
    </row>
    <row r="13" spans="1:16" ht="24.95" customHeight="1" x14ac:dyDescent="0.55000000000000004">
      <c r="A13" s="6" t="s">
        <v>33</v>
      </c>
      <c r="B13" s="7">
        <v>94</v>
      </c>
      <c r="C13" s="7">
        <v>379</v>
      </c>
      <c r="D13" s="7">
        <v>3032</v>
      </c>
      <c r="E13" s="8">
        <f t="shared" si="0"/>
        <v>4.0319148936170217</v>
      </c>
      <c r="F13" s="9">
        <v>95</v>
      </c>
      <c r="G13" s="9">
        <f t="shared" si="1"/>
        <v>355.5</v>
      </c>
      <c r="H13" s="9">
        <f t="shared" si="2"/>
        <v>2844</v>
      </c>
      <c r="I13" s="8">
        <f t="shared" si="3"/>
        <v>3.7421052631578946</v>
      </c>
      <c r="J13" s="19">
        <f t="shared" si="4"/>
        <v>-6.2005277044854881E-2</v>
      </c>
      <c r="K13" s="20">
        <f t="shared" si="6"/>
        <v>-7.1878905707540755E-2</v>
      </c>
      <c r="M13" s="26" t="s">
        <v>34</v>
      </c>
      <c r="N13" s="30">
        <v>275446</v>
      </c>
      <c r="O13" s="30">
        <v>275090.5</v>
      </c>
      <c r="P13" s="28">
        <f t="shared" si="5"/>
        <v>355.5</v>
      </c>
    </row>
    <row r="14" spans="1:16" ht="24.95" customHeight="1" x14ac:dyDescent="0.55000000000000004">
      <c r="A14" s="6" t="s">
        <v>35</v>
      </c>
      <c r="B14" s="7">
        <v>94</v>
      </c>
      <c r="C14" s="7">
        <v>412</v>
      </c>
      <c r="D14" s="7">
        <v>3296</v>
      </c>
      <c r="E14" s="8">
        <f t="shared" si="0"/>
        <v>4.3829787234042552</v>
      </c>
      <c r="F14" s="9">
        <v>95</v>
      </c>
      <c r="G14" s="9">
        <f t="shared" si="1"/>
        <v>463.59999999997672</v>
      </c>
      <c r="H14" s="9">
        <f t="shared" si="2"/>
        <v>3708.7999999998137</v>
      </c>
      <c r="I14" s="8">
        <f t="shared" si="3"/>
        <v>4.8799999999997548</v>
      </c>
      <c r="J14" s="19">
        <f t="shared" si="4"/>
        <v>0.12524271844654544</v>
      </c>
      <c r="K14" s="20">
        <f t="shared" si="6"/>
        <v>0.11339805825237126</v>
      </c>
      <c r="M14" s="26" t="s">
        <v>36</v>
      </c>
      <c r="N14" s="30">
        <v>275909.59999999998</v>
      </c>
      <c r="O14" s="30">
        <v>275446</v>
      </c>
      <c r="P14" s="28">
        <f t="shared" si="5"/>
        <v>463.59999999997672</v>
      </c>
    </row>
    <row r="15" spans="1:16" ht="24.95" customHeight="1" x14ac:dyDescent="0.55000000000000004">
      <c r="A15" s="6" t="s">
        <v>37</v>
      </c>
      <c r="B15" s="7">
        <v>94</v>
      </c>
      <c r="C15" s="7">
        <v>472</v>
      </c>
      <c r="D15" s="7">
        <v>3776</v>
      </c>
      <c r="E15" s="8">
        <f t="shared" si="0"/>
        <v>5.0212765957446805</v>
      </c>
      <c r="F15" s="9">
        <v>95</v>
      </c>
      <c r="G15" s="9">
        <f t="shared" si="1"/>
        <v>508.10000000003492</v>
      </c>
      <c r="H15" s="9">
        <f t="shared" si="2"/>
        <v>4064.8000000002794</v>
      </c>
      <c r="I15" s="8">
        <f t="shared" si="3"/>
        <v>5.3484210526319469</v>
      </c>
      <c r="J15" s="19">
        <f t="shared" si="4"/>
        <v>7.6483050847531625E-2</v>
      </c>
      <c r="K15" s="20">
        <f t="shared" si="6"/>
        <v>6.5151650312294571E-2</v>
      </c>
      <c r="M15" s="26" t="s">
        <v>38</v>
      </c>
      <c r="N15" s="30">
        <v>276417.7</v>
      </c>
      <c r="O15" s="30">
        <v>275909.59999999998</v>
      </c>
      <c r="P15" s="28">
        <f t="shared" si="5"/>
        <v>508.10000000003492</v>
      </c>
    </row>
    <row r="16" spans="1:16" ht="24.95" customHeight="1" x14ac:dyDescent="0.55000000000000004">
      <c r="A16" s="6" t="s">
        <v>39</v>
      </c>
      <c r="B16" s="7">
        <v>94</v>
      </c>
      <c r="C16" s="7">
        <v>349</v>
      </c>
      <c r="D16" s="7">
        <v>2792</v>
      </c>
      <c r="E16" s="8">
        <f t="shared" si="0"/>
        <v>3.7127659574468086</v>
      </c>
      <c r="F16" s="9">
        <v>95</v>
      </c>
      <c r="G16" s="9">
        <f t="shared" si="1"/>
        <v>1032.5999999999767</v>
      </c>
      <c r="H16" s="9">
        <f t="shared" si="2"/>
        <v>8260.7999999998137</v>
      </c>
      <c r="I16" s="8">
        <f t="shared" si="3"/>
        <v>10.869473684210281</v>
      </c>
      <c r="J16" s="19">
        <f t="shared" si="4"/>
        <v>1.9587392550142599</v>
      </c>
      <c r="K16" s="20">
        <f t="shared" si="6"/>
        <v>1.9275946312772674</v>
      </c>
      <c r="M16" s="26" t="s">
        <v>40</v>
      </c>
      <c r="N16" s="30">
        <v>277450.3</v>
      </c>
      <c r="O16" s="30">
        <v>276417.7</v>
      </c>
      <c r="P16" s="28">
        <f t="shared" si="5"/>
        <v>1032.5999999999767</v>
      </c>
    </row>
    <row r="17" spans="1:11" ht="24.95" customHeight="1" x14ac:dyDescent="0.55000000000000004">
      <c r="A17" s="6" t="s">
        <v>41</v>
      </c>
      <c r="B17" s="8">
        <f>AVERAGE(B5:B16)</f>
        <v>94</v>
      </c>
      <c r="C17" s="8">
        <f t="shared" ref="C17:H17" si="7">AVERAGE(C5:C16)</f>
        <v>460.25</v>
      </c>
      <c r="D17" s="8">
        <f t="shared" si="7"/>
        <v>3682</v>
      </c>
      <c r="E17" s="8">
        <f t="shared" si="7"/>
        <v>4.8962765957446805</v>
      </c>
      <c r="F17" s="8">
        <f t="shared" si="7"/>
        <v>95</v>
      </c>
      <c r="G17" s="8">
        <f>AVERAGE(G5:G16)</f>
        <v>472.19999999999709</v>
      </c>
      <c r="H17" s="8">
        <f t="shared" si="7"/>
        <v>3777.5999999999767</v>
      </c>
      <c r="I17" s="8">
        <f>G17/F17</f>
        <v>4.970526315789443</v>
      </c>
      <c r="J17" s="19">
        <f>(G17-C17)/C17</f>
        <v>2.596414991851622E-2</v>
      </c>
      <c r="K17" s="20">
        <f>(I17-E17)/E17</f>
        <v>1.5164527287795056E-2</v>
      </c>
    </row>
    <row r="18" spans="1:11" ht="24.95" customHeight="1" x14ac:dyDescent="0.55000000000000004">
      <c r="A18" s="6" t="s">
        <v>42</v>
      </c>
      <c r="B18" s="8">
        <f t="shared" ref="B18:I18" si="8">SUM(B5:B16)</f>
        <v>1128</v>
      </c>
      <c r="C18" s="8">
        <f t="shared" si="8"/>
        <v>5523</v>
      </c>
      <c r="D18" s="8">
        <f t="shared" si="8"/>
        <v>44184</v>
      </c>
      <c r="E18" s="8">
        <f t="shared" si="8"/>
        <v>58.755319148936167</v>
      </c>
      <c r="F18" s="8">
        <f t="shared" si="8"/>
        <v>1140</v>
      </c>
      <c r="G18" s="8">
        <f t="shared" si="8"/>
        <v>5666.3999999999651</v>
      </c>
      <c r="H18" s="8">
        <f t="shared" si="8"/>
        <v>45331.199999999721</v>
      </c>
      <c r="I18" s="8">
        <f t="shared" si="8"/>
        <v>59.64631578947332</v>
      </c>
      <c r="J18" s="19">
        <f t="shared" si="4"/>
        <v>2.596414991851622E-2</v>
      </c>
      <c r="K18" s="20">
        <f t="shared" si="6"/>
        <v>1.5164527287795116E-2</v>
      </c>
    </row>
    <row r="19" spans="1:11" ht="21.75" customHeight="1" x14ac:dyDescent="0.55000000000000004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 x14ac:dyDescent="0.55000000000000004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 x14ac:dyDescent="0.55000000000000004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2" ht="21.95" customHeight="1" x14ac:dyDescent="0.35"/>
    <row r="43" spans="1:12" ht="29.25" customHeight="1" x14ac:dyDescent="0.35">
      <c r="A43" s="46" t="s">
        <v>43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21.75" customHeight="1" x14ac:dyDescent="0.3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21.75" customHeight="1" x14ac:dyDescent="0.3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21.75" customHeight="1" x14ac:dyDescent="0.3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27" customHeight="1" x14ac:dyDescent="0.3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42" customHeight="1" x14ac:dyDescent="0.35">
      <c r="A48" s="48" t="s">
        <v>44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1:12" s="14" customFormat="1" ht="30" customHeight="1" x14ac:dyDescent="0.2">
      <c r="A49" s="38" t="s">
        <v>45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1:12" s="14" customFormat="1" ht="50.1" customHeight="1" x14ac:dyDescent="0.2">
      <c r="A50" s="15" t="s">
        <v>46</v>
      </c>
      <c r="B50" s="35" t="s">
        <v>47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</row>
    <row r="51" spans="1:12" s="14" customFormat="1" ht="50.1" customHeight="1" x14ac:dyDescent="0.2">
      <c r="A51" s="40" t="s">
        <v>48</v>
      </c>
      <c r="B51" s="40"/>
      <c r="C51" s="34" t="s">
        <v>49</v>
      </c>
      <c r="D51" s="34"/>
      <c r="E51" s="34"/>
      <c r="F51" s="34"/>
      <c r="G51" s="34"/>
      <c r="H51" s="34"/>
      <c r="I51" s="34"/>
      <c r="J51" s="34"/>
      <c r="K51" s="34"/>
      <c r="L51" s="34"/>
    </row>
    <row r="52" spans="1:12" s="14" customFormat="1" ht="50.1" customHeight="1" x14ac:dyDescent="0.2">
      <c r="A52" s="15" t="s">
        <v>50</v>
      </c>
      <c r="B52" s="15"/>
      <c r="C52" s="34" t="s">
        <v>51</v>
      </c>
      <c r="D52" s="34"/>
      <c r="E52" s="34"/>
      <c r="F52" s="34"/>
      <c r="G52" s="34"/>
      <c r="H52" s="34"/>
      <c r="I52" s="34"/>
      <c r="J52" s="34"/>
      <c r="K52" s="34"/>
      <c r="L52" s="34"/>
    </row>
    <row r="53" spans="1:12" s="14" customFormat="1" ht="30" customHeight="1" x14ac:dyDescent="0.2">
      <c r="A53" s="38" t="s">
        <v>52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</row>
    <row r="54" spans="1:12" s="14" customFormat="1" ht="50.1" customHeight="1" x14ac:dyDescent="0.2">
      <c r="A54" s="15" t="s">
        <v>46</v>
      </c>
      <c r="B54" s="35" t="s">
        <v>53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</row>
    <row r="55" spans="1:12" s="14" customFormat="1" ht="50.1" customHeight="1" x14ac:dyDescent="0.2">
      <c r="A55" s="40" t="s">
        <v>54</v>
      </c>
      <c r="B55" s="40"/>
      <c r="C55" s="14" t="s">
        <v>55</v>
      </c>
      <c r="D55" s="16"/>
    </row>
    <row r="56" spans="1:12" s="14" customFormat="1" ht="50.1" customHeight="1" x14ac:dyDescent="0.2">
      <c r="A56" s="15" t="s">
        <v>50</v>
      </c>
      <c r="B56" s="15"/>
      <c r="C56" s="14" t="s">
        <v>56</v>
      </c>
    </row>
    <row r="57" spans="1:12" s="14" customFormat="1" ht="30" customHeight="1" x14ac:dyDescent="0.2">
      <c r="A57" s="38" t="s">
        <v>57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2" s="14" customFormat="1" ht="50.1" customHeight="1" x14ac:dyDescent="0.2">
      <c r="A58" s="21" t="s">
        <v>58</v>
      </c>
      <c r="B58" s="35" t="s">
        <v>59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s="14" customFormat="1" ht="50.1" customHeight="1" x14ac:dyDescent="0.2">
      <c r="A59" s="35" t="s">
        <v>54</v>
      </c>
      <c r="B59" s="35"/>
      <c r="C59" s="14" t="s">
        <v>49</v>
      </c>
      <c r="D59" s="16"/>
    </row>
    <row r="60" spans="1:12" s="14" customFormat="1" ht="50.1" customHeight="1" x14ac:dyDescent="0.2">
      <c r="A60" s="15" t="s">
        <v>50</v>
      </c>
      <c r="B60" s="15"/>
      <c r="C60" s="36" t="s">
        <v>60</v>
      </c>
      <c r="D60" s="37"/>
      <c r="E60" s="37"/>
      <c r="F60" s="37"/>
      <c r="G60" s="37"/>
      <c r="H60" s="37"/>
      <c r="I60" s="37"/>
      <c r="J60" s="37"/>
      <c r="K60" s="37"/>
      <c r="L60" s="37"/>
    </row>
    <row r="61" spans="1:12" s="14" customFormat="1" ht="30" customHeight="1" x14ac:dyDescent="0.2">
      <c r="A61" s="38" t="s">
        <v>61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</row>
    <row r="62" spans="1:12" s="14" customFormat="1" ht="50.1" customHeight="1" x14ac:dyDescent="0.2">
      <c r="A62" s="15" t="s">
        <v>46</v>
      </c>
      <c r="B62" s="15"/>
      <c r="C62" s="35" t="s">
        <v>62</v>
      </c>
      <c r="D62" s="35"/>
      <c r="E62" s="35"/>
      <c r="F62" s="35"/>
      <c r="G62" s="35"/>
      <c r="H62" s="35"/>
      <c r="I62" s="35"/>
      <c r="J62" s="35"/>
      <c r="K62" s="35"/>
      <c r="L62" s="35"/>
    </row>
    <row r="63" spans="1:12" s="14" customFormat="1" ht="50.1" customHeight="1" x14ac:dyDescent="0.2">
      <c r="A63" s="35" t="s">
        <v>54</v>
      </c>
      <c r="B63" s="35"/>
      <c r="C63" s="14" t="s">
        <v>63</v>
      </c>
      <c r="D63" s="16"/>
    </row>
    <row r="64" spans="1:12" s="14" customFormat="1" ht="50.1" customHeight="1" x14ac:dyDescent="0.2">
      <c r="A64" s="15" t="s">
        <v>50</v>
      </c>
      <c r="B64" s="15"/>
      <c r="C64" s="49" t="s">
        <v>64</v>
      </c>
      <c r="D64" s="37"/>
      <c r="E64" s="37"/>
      <c r="F64" s="37"/>
      <c r="G64" s="37"/>
      <c r="H64" s="37"/>
      <c r="I64" s="37"/>
      <c r="J64" s="37"/>
      <c r="K64" s="37"/>
      <c r="L64" s="37"/>
    </row>
    <row r="65" spans="1:12" s="14" customFormat="1" ht="30" customHeight="1" x14ac:dyDescent="0.2">
      <c r="A65" s="38" t="s">
        <v>65</v>
      </c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</row>
    <row r="66" spans="1:12" s="14" customFormat="1" ht="50.1" customHeight="1" x14ac:dyDescent="0.2">
      <c r="A66" s="21" t="s">
        <v>58</v>
      </c>
      <c r="B66" s="15"/>
      <c r="C66" s="35" t="s">
        <v>66</v>
      </c>
      <c r="D66" s="35"/>
      <c r="E66" s="35"/>
      <c r="F66" s="35"/>
      <c r="G66" s="35"/>
      <c r="H66" s="35"/>
      <c r="I66" s="35"/>
      <c r="J66" s="35"/>
      <c r="K66" s="35"/>
      <c r="L66" s="35"/>
    </row>
    <row r="67" spans="1:12" s="14" customFormat="1" ht="50.1" customHeight="1" x14ac:dyDescent="0.2">
      <c r="A67" s="35" t="s">
        <v>54</v>
      </c>
      <c r="B67" s="35"/>
      <c r="C67" s="14" t="s">
        <v>49</v>
      </c>
    </row>
    <row r="68" spans="1:12" s="14" customFormat="1" ht="50.1" customHeight="1" x14ac:dyDescent="0.2">
      <c r="A68" s="15" t="s">
        <v>50</v>
      </c>
      <c r="B68" s="15"/>
      <c r="C68" s="50" t="s">
        <v>60</v>
      </c>
      <c r="D68" s="37"/>
      <c r="E68" s="37"/>
      <c r="F68" s="37"/>
      <c r="G68" s="37"/>
      <c r="H68" s="37"/>
      <c r="I68" s="37"/>
      <c r="J68" s="37"/>
      <c r="K68" s="37"/>
      <c r="L68" s="37"/>
    </row>
    <row r="69" spans="1:12" s="14" customFormat="1" ht="30" customHeight="1" x14ac:dyDescent="0.2">
      <c r="A69" s="38" t="s">
        <v>67</v>
      </c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</row>
    <row r="70" spans="1:12" s="14" customFormat="1" ht="50.1" customHeight="1" x14ac:dyDescent="0.2">
      <c r="A70" s="15" t="s">
        <v>58</v>
      </c>
      <c r="B70" s="15"/>
      <c r="C70" s="42" t="s">
        <v>68</v>
      </c>
      <c r="D70" s="42"/>
      <c r="E70" s="42"/>
      <c r="F70" s="42"/>
      <c r="G70" s="42"/>
      <c r="H70" s="42"/>
      <c r="I70" s="42"/>
      <c r="J70" s="42"/>
      <c r="K70" s="42"/>
      <c r="L70" s="42"/>
    </row>
    <row r="71" spans="1:12" s="14" customFormat="1" ht="50.1" customHeight="1" x14ac:dyDescent="0.2">
      <c r="A71" s="35" t="s">
        <v>54</v>
      </c>
      <c r="B71" s="35"/>
      <c r="C71" s="29" t="s">
        <v>69</v>
      </c>
      <c r="D71" s="16"/>
    </row>
    <row r="72" spans="1:12" s="14" customFormat="1" ht="50.1" customHeight="1" x14ac:dyDescent="0.2">
      <c r="A72" s="15" t="s">
        <v>50</v>
      </c>
      <c r="B72" s="15"/>
      <c r="C72" s="34" t="s">
        <v>70</v>
      </c>
      <c r="D72" s="34"/>
      <c r="E72" s="34"/>
      <c r="F72" s="34"/>
      <c r="G72" s="34"/>
      <c r="H72" s="34"/>
      <c r="I72" s="34"/>
      <c r="J72" s="34"/>
      <c r="K72" s="34"/>
      <c r="L72" s="34"/>
    </row>
    <row r="73" spans="1:12" s="14" customFormat="1" ht="30" customHeight="1" x14ac:dyDescent="0.2">
      <c r="A73" s="38" t="s">
        <v>71</v>
      </c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</row>
    <row r="74" spans="1:12" s="14" customFormat="1" ht="39.950000000000003" customHeight="1" x14ac:dyDescent="0.2">
      <c r="A74" s="15" t="s">
        <v>46</v>
      </c>
      <c r="B74" s="15"/>
      <c r="C74" s="35" t="s">
        <v>72</v>
      </c>
      <c r="D74" s="35"/>
      <c r="E74" s="35"/>
      <c r="F74" s="35"/>
      <c r="G74" s="35"/>
      <c r="H74" s="35"/>
      <c r="I74" s="35"/>
      <c r="J74" s="35"/>
      <c r="K74" s="35"/>
      <c r="L74" s="35"/>
    </row>
    <row r="75" spans="1:12" s="14" customFormat="1" ht="39.950000000000003" customHeight="1" x14ac:dyDescent="0.2">
      <c r="A75" s="40" t="s">
        <v>54</v>
      </c>
      <c r="B75" s="40"/>
      <c r="C75" s="33" t="s">
        <v>73</v>
      </c>
      <c r="D75" s="33"/>
      <c r="E75" s="33"/>
      <c r="F75" s="33"/>
      <c r="G75" s="33"/>
      <c r="H75" s="33"/>
      <c r="I75" s="33"/>
      <c r="J75" s="33"/>
      <c r="K75" s="33"/>
      <c r="L75" s="33"/>
    </row>
    <row r="76" spans="1:12" s="14" customFormat="1" ht="39.950000000000003" customHeight="1" x14ac:dyDescent="0.2">
      <c r="A76" s="15" t="s">
        <v>50</v>
      </c>
      <c r="B76" s="15"/>
      <c r="C76" s="34" t="s">
        <v>70</v>
      </c>
      <c r="D76" s="34"/>
      <c r="E76" s="34"/>
      <c r="F76" s="34"/>
      <c r="G76" s="34"/>
      <c r="H76" s="34"/>
      <c r="I76" s="34"/>
      <c r="J76" s="34"/>
      <c r="K76" s="34"/>
      <c r="L76" s="34"/>
    </row>
    <row r="77" spans="1:12" s="14" customFormat="1" ht="30" customHeight="1" x14ac:dyDescent="0.2">
      <c r="A77" s="38" t="s">
        <v>74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</row>
    <row r="78" spans="1:12" s="14" customFormat="1" ht="39.950000000000003" customHeight="1" x14ac:dyDescent="0.2">
      <c r="A78" s="15" t="s">
        <v>46</v>
      </c>
      <c r="B78" s="15"/>
      <c r="C78" s="35" t="s">
        <v>75</v>
      </c>
      <c r="D78" s="35"/>
      <c r="E78" s="35"/>
      <c r="F78" s="35"/>
      <c r="G78" s="35"/>
      <c r="H78" s="35"/>
      <c r="I78" s="35"/>
      <c r="J78" s="35"/>
      <c r="K78" s="35"/>
      <c r="L78" s="35"/>
    </row>
    <row r="79" spans="1:12" s="14" customFormat="1" ht="39.950000000000003" customHeight="1" x14ac:dyDescent="0.2">
      <c r="A79" s="40" t="s">
        <v>54</v>
      </c>
      <c r="B79" s="40"/>
      <c r="C79" s="33" t="s">
        <v>76</v>
      </c>
      <c r="D79" s="33"/>
      <c r="E79" s="33"/>
      <c r="F79" s="33"/>
      <c r="G79" s="33"/>
      <c r="H79" s="33"/>
      <c r="I79" s="33"/>
      <c r="J79" s="33"/>
      <c r="K79" s="33"/>
      <c r="L79" s="33"/>
    </row>
    <row r="80" spans="1:12" s="14" customFormat="1" ht="39.950000000000003" customHeight="1" x14ac:dyDescent="0.2">
      <c r="A80" s="15" t="s">
        <v>50</v>
      </c>
      <c r="B80" s="15"/>
      <c r="C80" s="34" t="s">
        <v>70</v>
      </c>
      <c r="D80" s="34"/>
      <c r="E80" s="34"/>
      <c r="F80" s="34"/>
      <c r="G80" s="34"/>
      <c r="H80" s="34"/>
      <c r="I80" s="34"/>
      <c r="J80" s="34"/>
      <c r="K80" s="34"/>
      <c r="L80" s="34"/>
    </row>
    <row r="81" spans="1:20" s="14" customFormat="1" ht="30" customHeight="1" x14ac:dyDescent="0.2">
      <c r="A81" s="38" t="s">
        <v>77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</row>
    <row r="82" spans="1:20" s="14" customFormat="1" ht="39.950000000000003" customHeight="1" x14ac:dyDescent="0.2">
      <c r="A82" s="15" t="s">
        <v>46</v>
      </c>
      <c r="B82" s="15"/>
      <c r="C82" s="35" t="s">
        <v>78</v>
      </c>
      <c r="D82" s="35"/>
      <c r="E82" s="35"/>
      <c r="F82" s="35"/>
      <c r="G82" s="35"/>
      <c r="H82" s="35"/>
      <c r="I82" s="35"/>
      <c r="J82" s="35"/>
      <c r="K82" s="35"/>
      <c r="L82" s="35"/>
      <c r="M82" s="17"/>
      <c r="N82" s="17"/>
      <c r="O82" s="17"/>
      <c r="P82" s="17"/>
      <c r="Q82" s="17"/>
      <c r="R82" s="17"/>
      <c r="S82" s="17"/>
      <c r="T82" s="17"/>
    </row>
    <row r="83" spans="1:20" s="14" customFormat="1" ht="39.950000000000003" customHeight="1" x14ac:dyDescent="0.2">
      <c r="A83" s="35" t="s">
        <v>54</v>
      </c>
      <c r="B83" s="35"/>
      <c r="C83" s="41" t="s">
        <v>79</v>
      </c>
      <c r="D83" s="41"/>
      <c r="E83" s="41"/>
      <c r="F83" s="41"/>
      <c r="G83" s="41"/>
      <c r="H83" s="41"/>
      <c r="I83" s="41"/>
      <c r="J83" s="41"/>
      <c r="K83" s="41"/>
      <c r="L83" s="41"/>
      <c r="M83" s="17"/>
      <c r="N83" s="17"/>
      <c r="O83" s="17"/>
      <c r="P83" s="17"/>
      <c r="Q83" s="17"/>
      <c r="R83" s="17"/>
      <c r="S83" s="17"/>
      <c r="T83" s="17"/>
    </row>
    <row r="84" spans="1:20" s="14" customFormat="1" ht="39.950000000000003" customHeight="1" x14ac:dyDescent="0.2">
      <c r="A84" s="15" t="s">
        <v>50</v>
      </c>
      <c r="B84" s="15"/>
      <c r="C84" s="36" t="s">
        <v>70</v>
      </c>
      <c r="D84" s="34"/>
      <c r="E84" s="34"/>
      <c r="F84" s="34"/>
      <c r="G84" s="34"/>
      <c r="H84" s="34"/>
      <c r="I84" s="34"/>
      <c r="J84" s="34"/>
      <c r="K84" s="34"/>
      <c r="L84" s="34"/>
      <c r="M84" s="17"/>
      <c r="N84" s="17"/>
      <c r="O84" s="17"/>
      <c r="P84" s="17"/>
      <c r="Q84" s="17"/>
      <c r="R84" s="17"/>
      <c r="S84" s="17"/>
      <c r="T84" s="17"/>
    </row>
    <row r="85" spans="1:20" s="14" customFormat="1" ht="30" customHeight="1" x14ac:dyDescent="0.2">
      <c r="A85" s="38" t="s">
        <v>80</v>
      </c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</row>
    <row r="86" spans="1:20" s="18" customFormat="1" ht="39.950000000000003" customHeight="1" x14ac:dyDescent="0.55000000000000004">
      <c r="A86" s="15" t="s">
        <v>46</v>
      </c>
      <c r="B86" s="15"/>
      <c r="C86" s="35" t="s">
        <v>81</v>
      </c>
      <c r="D86" s="35"/>
      <c r="E86" s="35"/>
      <c r="F86" s="35"/>
      <c r="G86" s="35"/>
      <c r="H86" s="35"/>
      <c r="I86" s="35"/>
      <c r="J86" s="35"/>
      <c r="K86" s="35"/>
      <c r="L86" s="35"/>
    </row>
    <row r="87" spans="1:20" s="18" customFormat="1" ht="39.950000000000003" customHeight="1" x14ac:dyDescent="0.55000000000000004">
      <c r="A87" s="35" t="s">
        <v>54</v>
      </c>
      <c r="B87" s="35"/>
      <c r="C87" s="33" t="s">
        <v>82</v>
      </c>
      <c r="D87" s="33"/>
      <c r="E87" s="33"/>
      <c r="F87" s="33"/>
      <c r="G87" s="33"/>
      <c r="H87" s="33"/>
      <c r="I87" s="33"/>
      <c r="J87" s="33"/>
      <c r="K87" s="33"/>
      <c r="L87" s="33"/>
    </row>
    <row r="88" spans="1:20" s="18" customFormat="1" ht="39.950000000000003" customHeight="1" x14ac:dyDescent="0.55000000000000004">
      <c r="A88" s="15" t="s">
        <v>50</v>
      </c>
      <c r="B88" s="15"/>
      <c r="C88" s="34" t="s">
        <v>83</v>
      </c>
      <c r="D88" s="34"/>
      <c r="E88" s="34"/>
      <c r="F88" s="34"/>
      <c r="G88" s="34"/>
      <c r="H88" s="34"/>
      <c r="I88" s="34"/>
      <c r="J88" s="34"/>
      <c r="K88" s="34"/>
      <c r="L88" s="34"/>
    </row>
    <row r="89" spans="1:20" s="18" customFormat="1" ht="30" customHeight="1" x14ac:dyDescent="0.55000000000000004">
      <c r="A89" s="38" t="s">
        <v>84</v>
      </c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</row>
    <row r="90" spans="1:20" s="18" customFormat="1" ht="39.950000000000003" customHeight="1" x14ac:dyDescent="0.55000000000000004">
      <c r="A90" s="15" t="s">
        <v>46</v>
      </c>
      <c r="B90" s="15"/>
      <c r="C90" s="35" t="s">
        <v>85</v>
      </c>
      <c r="D90" s="35"/>
      <c r="E90" s="35"/>
      <c r="F90" s="35"/>
      <c r="G90" s="35"/>
      <c r="H90" s="35"/>
      <c r="I90" s="35"/>
      <c r="J90" s="35"/>
      <c r="K90" s="35"/>
      <c r="L90" s="35"/>
    </row>
    <row r="91" spans="1:20" s="18" customFormat="1" ht="39.950000000000003" customHeight="1" x14ac:dyDescent="0.55000000000000004">
      <c r="A91" s="35" t="s">
        <v>54</v>
      </c>
      <c r="B91" s="35"/>
      <c r="C91" s="33" t="s">
        <v>86</v>
      </c>
      <c r="D91" s="33"/>
      <c r="E91" s="33"/>
      <c r="F91" s="33"/>
      <c r="G91" s="33"/>
      <c r="H91" s="33"/>
      <c r="I91" s="33"/>
      <c r="J91" s="33"/>
      <c r="K91" s="33"/>
      <c r="L91" s="33"/>
    </row>
    <row r="92" spans="1:20" s="18" customFormat="1" ht="39.950000000000003" customHeight="1" x14ac:dyDescent="0.55000000000000004">
      <c r="A92" s="15" t="s">
        <v>50</v>
      </c>
      <c r="B92" s="15"/>
      <c r="C92" s="34" t="s">
        <v>87</v>
      </c>
      <c r="D92" s="34"/>
      <c r="E92" s="34"/>
      <c r="F92" s="34"/>
      <c r="G92" s="34"/>
      <c r="H92" s="34"/>
      <c r="I92" s="34"/>
      <c r="J92" s="34"/>
      <c r="K92" s="34"/>
      <c r="L92" s="34"/>
    </row>
    <row r="93" spans="1:20" s="18" customFormat="1" ht="30" customHeight="1" x14ac:dyDescent="0.55000000000000004">
      <c r="A93" s="38" t="s">
        <v>88</v>
      </c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</row>
    <row r="94" spans="1:20" s="18" customFormat="1" ht="39.950000000000003" customHeight="1" x14ac:dyDescent="0.55000000000000004">
      <c r="A94" s="15" t="s">
        <v>46</v>
      </c>
      <c r="B94" s="15"/>
      <c r="C94" s="35" t="s">
        <v>89</v>
      </c>
      <c r="D94" s="35"/>
      <c r="E94" s="35"/>
      <c r="F94" s="35"/>
      <c r="G94" s="35"/>
      <c r="H94" s="35"/>
      <c r="I94" s="35"/>
      <c r="J94" s="35"/>
      <c r="K94" s="35"/>
      <c r="L94" s="35"/>
    </row>
    <row r="95" spans="1:20" s="18" customFormat="1" ht="39.950000000000003" customHeight="1" x14ac:dyDescent="0.55000000000000004">
      <c r="A95" s="35" t="s">
        <v>54</v>
      </c>
      <c r="B95" s="35"/>
      <c r="C95" s="33" t="s">
        <v>90</v>
      </c>
      <c r="D95" s="33"/>
      <c r="E95" s="33"/>
      <c r="F95" s="33"/>
      <c r="G95" s="33"/>
      <c r="H95" s="33"/>
      <c r="I95" s="33"/>
      <c r="J95" s="33"/>
      <c r="K95" s="33"/>
      <c r="L95" s="33"/>
    </row>
    <row r="96" spans="1:20" s="18" customFormat="1" ht="39.950000000000003" customHeight="1" x14ac:dyDescent="0.55000000000000004">
      <c r="A96" s="15" t="s">
        <v>50</v>
      </c>
      <c r="B96" s="15"/>
      <c r="C96" s="34" t="s">
        <v>91</v>
      </c>
      <c r="D96" s="34"/>
      <c r="E96" s="34"/>
      <c r="F96" s="34"/>
      <c r="G96" s="34"/>
      <c r="H96" s="34"/>
      <c r="I96" s="34"/>
      <c r="J96" s="34"/>
      <c r="K96" s="34"/>
      <c r="L96" s="34"/>
    </row>
    <row r="97" s="3" customFormat="1" ht="21.75" customHeight="1" x14ac:dyDescent="0.35"/>
    <row r="98" s="3" customFormat="1" ht="21.75" customHeight="1" x14ac:dyDescent="0.35"/>
  </sheetData>
  <mergeCells count="61">
    <mergeCell ref="A95:B95"/>
    <mergeCell ref="C88:L88"/>
    <mergeCell ref="C90:L90"/>
    <mergeCell ref="C91:L91"/>
    <mergeCell ref="C92:L92"/>
    <mergeCell ref="C94:L94"/>
    <mergeCell ref="C95:L95"/>
    <mergeCell ref="C74:L74"/>
    <mergeCell ref="A87:B87"/>
    <mergeCell ref="A89:L89"/>
    <mergeCell ref="A91:B91"/>
    <mergeCell ref="A93:L93"/>
    <mergeCell ref="C75:L75"/>
    <mergeCell ref="C76:L76"/>
    <mergeCell ref="C78:L78"/>
    <mergeCell ref="C79:L79"/>
    <mergeCell ref="C80:L80"/>
    <mergeCell ref="A59:B59"/>
    <mergeCell ref="A61:L61"/>
    <mergeCell ref="A85:L85"/>
    <mergeCell ref="A63:B63"/>
    <mergeCell ref="A65:L65"/>
    <mergeCell ref="A67:B67"/>
    <mergeCell ref="A69:L69"/>
    <mergeCell ref="A71:B71"/>
    <mergeCell ref="A73:L73"/>
    <mergeCell ref="A75:B75"/>
    <mergeCell ref="A77:L77"/>
    <mergeCell ref="A79:B79"/>
    <mergeCell ref="A81:L81"/>
    <mergeCell ref="A83:B83"/>
    <mergeCell ref="C70:L70"/>
    <mergeCell ref="C72:L72"/>
    <mergeCell ref="A48:L48"/>
    <mergeCell ref="A49:L49"/>
    <mergeCell ref="A2:K2"/>
    <mergeCell ref="A3:A4"/>
    <mergeCell ref="B3:E3"/>
    <mergeCell ref="F3:I3"/>
    <mergeCell ref="J3:K3"/>
    <mergeCell ref="A43:L47"/>
    <mergeCell ref="B50:L50"/>
    <mergeCell ref="C51:L51"/>
    <mergeCell ref="C52:L52"/>
    <mergeCell ref="B54:L54"/>
    <mergeCell ref="B58:L58"/>
    <mergeCell ref="A51:B51"/>
    <mergeCell ref="A53:L53"/>
    <mergeCell ref="A55:B55"/>
    <mergeCell ref="A57:L57"/>
    <mergeCell ref="C60:L60"/>
    <mergeCell ref="C62:L62"/>
    <mergeCell ref="C64:L64"/>
    <mergeCell ref="C66:L66"/>
    <mergeCell ref="C68:L68"/>
    <mergeCell ref="C96:L96"/>
    <mergeCell ref="C82:L82"/>
    <mergeCell ref="C83:L83"/>
    <mergeCell ref="C84:L84"/>
    <mergeCell ref="C86:L86"/>
    <mergeCell ref="C87:L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92B7-30C1-46AE-92D5-07F9D97E9A3B}">
  <dimension ref="A1:T100"/>
  <sheetViews>
    <sheetView tabSelected="1" zoomScale="80" zoomScaleNormal="80" workbookViewId="0">
      <selection activeCell="D4" sqref="D4"/>
    </sheetView>
  </sheetViews>
  <sheetFormatPr defaultColWidth="9.140625" defaultRowHeight="21.75" customHeight="1" x14ac:dyDescent="0.35"/>
  <cols>
    <col min="1" max="1" width="18" style="13" customWidth="1"/>
    <col min="2" max="2" width="4.7109375" style="3" hidden="1" customWidth="1"/>
    <col min="3" max="3" width="12.5703125" style="3" customWidth="1"/>
    <col min="4" max="4" width="14.5703125" style="3" bestFit="1" customWidth="1"/>
    <col min="5" max="7" width="12.5703125" style="3" customWidth="1"/>
    <col min="8" max="8" width="13.42578125" style="3" customWidth="1"/>
    <col min="9" max="9" width="12.5703125" style="3" customWidth="1"/>
    <col min="10" max="10" width="13" style="3" customWidth="1"/>
    <col min="11" max="11" width="15.85546875" style="3" customWidth="1"/>
    <col min="12" max="12" width="9.140625" style="3"/>
    <col min="13" max="13" width="17.5703125" style="3" bestFit="1" customWidth="1"/>
    <col min="14" max="16" width="13.140625" style="3" customWidth="1"/>
    <col min="17" max="18" width="11.28515625" style="3" bestFit="1" customWidth="1"/>
    <col min="19" max="19" width="6.140625" style="3" bestFit="1" customWidth="1"/>
    <col min="20" max="16384" width="9.140625" style="3"/>
  </cols>
  <sheetData>
    <row r="1" spans="1:16" ht="21.75" customHeight="1" x14ac:dyDescent="0.35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6" ht="21" customHeight="1" x14ac:dyDescent="0.3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2"/>
    </row>
    <row r="3" spans="1:16" s="5" customFormat="1" ht="21.6" customHeight="1" x14ac:dyDescent="0.2">
      <c r="A3" s="44" t="s">
        <v>2</v>
      </c>
      <c r="B3" s="45" t="s">
        <v>4</v>
      </c>
      <c r="C3" s="45"/>
      <c r="D3" s="45"/>
      <c r="E3" s="45"/>
      <c r="F3" s="45" t="s">
        <v>92</v>
      </c>
      <c r="G3" s="45"/>
      <c r="H3" s="45"/>
      <c r="I3" s="45"/>
      <c r="J3" s="45" t="s">
        <v>5</v>
      </c>
      <c r="K3" s="45"/>
      <c r="M3" s="23" t="s">
        <v>6</v>
      </c>
      <c r="N3" s="24"/>
      <c r="O3" s="24"/>
      <c r="P3" s="24"/>
    </row>
    <row r="4" spans="1:16" s="5" customFormat="1" ht="54" customHeight="1" x14ac:dyDescent="0.2">
      <c r="A4" s="44"/>
      <c r="B4" s="22" t="s">
        <v>7</v>
      </c>
      <c r="C4" s="22" t="s">
        <v>93</v>
      </c>
      <c r="D4" s="22" t="s">
        <v>9</v>
      </c>
      <c r="E4" s="22" t="s">
        <v>94</v>
      </c>
      <c r="F4" s="22" t="s">
        <v>7</v>
      </c>
      <c r="G4" s="22" t="s">
        <v>95</v>
      </c>
      <c r="H4" s="22" t="s">
        <v>9</v>
      </c>
      <c r="I4" s="22" t="s">
        <v>96</v>
      </c>
      <c r="J4" s="22" t="s">
        <v>97</v>
      </c>
      <c r="K4" s="22" t="s">
        <v>98</v>
      </c>
      <c r="M4" s="25"/>
      <c r="N4" s="25" t="s">
        <v>15</v>
      </c>
      <c r="O4" s="25" t="s">
        <v>16</v>
      </c>
      <c r="P4" s="25"/>
    </row>
    <row r="5" spans="1:16" ht="24.95" customHeight="1" x14ac:dyDescent="0.55000000000000004">
      <c r="A5" s="6" t="s">
        <v>17</v>
      </c>
      <c r="B5" s="7">
        <v>95</v>
      </c>
      <c r="C5" s="7">
        <v>291</v>
      </c>
      <c r="D5" s="7">
        <v>2328</v>
      </c>
      <c r="E5" s="8">
        <v>3.0631578947368423</v>
      </c>
      <c r="F5" s="9">
        <v>95</v>
      </c>
      <c r="G5" s="9">
        <f>P5</f>
        <v>939</v>
      </c>
      <c r="H5" s="9">
        <f>G5*8</f>
        <v>7512</v>
      </c>
      <c r="I5" s="8">
        <f>G5/F5</f>
        <v>9.8842105263157887</v>
      </c>
      <c r="J5" s="19">
        <f>(G5-C5)/C5</f>
        <v>2.2268041237113403</v>
      </c>
      <c r="K5" s="20">
        <f>(I5-E5)/E5</f>
        <v>2.2268041237113398</v>
      </c>
      <c r="M5" s="26" t="s">
        <v>18</v>
      </c>
      <c r="N5" s="31">
        <v>278389.3</v>
      </c>
      <c r="O5" s="30">
        <v>277450.3</v>
      </c>
      <c r="P5" s="30">
        <f>N5-O5</f>
        <v>939</v>
      </c>
    </row>
    <row r="6" spans="1:16" ht="24.95" customHeight="1" x14ac:dyDescent="0.55000000000000004">
      <c r="A6" s="6" t="s">
        <v>19</v>
      </c>
      <c r="B6" s="7">
        <v>95</v>
      </c>
      <c r="C6" s="7">
        <v>467.29999999998836</v>
      </c>
      <c r="D6" s="7">
        <v>3738.3999999999069</v>
      </c>
      <c r="E6" s="8">
        <v>4.9189473684209304</v>
      </c>
      <c r="F6" s="9">
        <v>95</v>
      </c>
      <c r="G6" s="9">
        <f t="shared" ref="G6:G16" si="0">P6</f>
        <v>447.5</v>
      </c>
      <c r="H6" s="9">
        <f t="shared" ref="H6:H16" si="1">G6*8</f>
        <v>3580</v>
      </c>
      <c r="I6" s="8">
        <f t="shared" ref="I6:I16" si="2">G6/F6</f>
        <v>4.7105263157894735</v>
      </c>
      <c r="J6" s="19">
        <f t="shared" ref="J6:J18" si="3">(G6-C6)/C6</f>
        <v>-4.2371067836483742E-2</v>
      </c>
      <c r="K6" s="20">
        <f>(I6-E6)/E6</f>
        <v>-4.2371067836483846E-2</v>
      </c>
      <c r="M6" s="26" t="s">
        <v>20</v>
      </c>
      <c r="N6" s="31">
        <v>278836.8</v>
      </c>
      <c r="O6" s="31">
        <v>278389.3</v>
      </c>
      <c r="P6" s="30">
        <f t="shared" ref="P6:P16" si="4">N6-O6</f>
        <v>447.5</v>
      </c>
    </row>
    <row r="7" spans="1:16" ht="24.95" customHeight="1" x14ac:dyDescent="0.55000000000000004">
      <c r="A7" s="6" t="s">
        <v>21</v>
      </c>
      <c r="B7" s="7">
        <v>95</v>
      </c>
      <c r="C7" s="7">
        <v>507.59999999997672</v>
      </c>
      <c r="D7" s="7">
        <v>4060.7999999998137</v>
      </c>
      <c r="E7" s="8">
        <v>5.3431578947365974</v>
      </c>
      <c r="F7" s="9">
        <v>95</v>
      </c>
      <c r="G7" s="9">
        <f t="shared" si="0"/>
        <v>555</v>
      </c>
      <c r="H7" s="9">
        <f t="shared" si="1"/>
        <v>4440</v>
      </c>
      <c r="I7" s="8">
        <f t="shared" si="2"/>
        <v>5.8421052631578947</v>
      </c>
      <c r="J7" s="19">
        <f t="shared" si="3"/>
        <v>9.3380614657260552E-2</v>
      </c>
      <c r="K7" s="20">
        <f t="shared" ref="K7:K18" si="5">(I7-E7)/E7</f>
        <v>9.3380614657260469E-2</v>
      </c>
      <c r="M7" s="26" t="s">
        <v>22</v>
      </c>
      <c r="N7" s="31">
        <v>279391.8</v>
      </c>
      <c r="O7" s="31">
        <v>278836.8</v>
      </c>
      <c r="P7" s="30">
        <f t="shared" si="4"/>
        <v>555</v>
      </c>
    </row>
    <row r="8" spans="1:16" ht="24.95" customHeight="1" x14ac:dyDescent="0.55000000000000004">
      <c r="A8" s="6" t="s">
        <v>23</v>
      </c>
      <c r="B8" s="7">
        <v>95</v>
      </c>
      <c r="C8" s="7">
        <v>452.29999999998836</v>
      </c>
      <c r="D8" s="7">
        <v>3618.3999999999069</v>
      </c>
      <c r="E8" s="8">
        <v>4.7610526315788251</v>
      </c>
      <c r="F8" s="9">
        <v>95</v>
      </c>
      <c r="G8" s="9">
        <f t="shared" si="0"/>
        <v>594.60000000003492</v>
      </c>
      <c r="H8" s="9">
        <f t="shared" si="1"/>
        <v>4756.8000000002794</v>
      </c>
      <c r="I8" s="8">
        <f t="shared" si="2"/>
        <v>6.2589473684214205</v>
      </c>
      <c r="J8" s="19">
        <f t="shared" si="3"/>
        <v>0.31461419411905867</v>
      </c>
      <c r="K8" s="20">
        <f t="shared" si="5"/>
        <v>0.31461419411905867</v>
      </c>
      <c r="M8" s="26" t="s">
        <v>24</v>
      </c>
      <c r="N8" s="30">
        <v>279986.40000000002</v>
      </c>
      <c r="O8" s="31">
        <v>279391.8</v>
      </c>
      <c r="P8" s="30">
        <f t="shared" si="4"/>
        <v>594.60000000003492</v>
      </c>
    </row>
    <row r="9" spans="1:16" ht="24.95" customHeight="1" x14ac:dyDescent="0.55000000000000004">
      <c r="A9" s="6" t="s">
        <v>25</v>
      </c>
      <c r="B9" s="7">
        <v>95</v>
      </c>
      <c r="C9" s="7">
        <v>408.70000000001164</v>
      </c>
      <c r="D9" s="7">
        <v>3269.6000000000931</v>
      </c>
      <c r="E9" s="8">
        <v>4.3021052631580172</v>
      </c>
      <c r="F9" s="9">
        <v>95</v>
      </c>
      <c r="G9" s="9">
        <f t="shared" si="0"/>
        <v>697.29999999998836</v>
      </c>
      <c r="H9" s="9">
        <f t="shared" si="1"/>
        <v>5578.3999999999069</v>
      </c>
      <c r="I9" s="8">
        <f t="shared" si="2"/>
        <v>7.3399999999998773</v>
      </c>
      <c r="J9" s="19">
        <f t="shared" si="3"/>
        <v>0.70614142402732694</v>
      </c>
      <c r="K9" s="20">
        <f t="shared" si="5"/>
        <v>0.70614142402732683</v>
      </c>
      <c r="M9" s="26" t="s">
        <v>26</v>
      </c>
      <c r="N9" s="30">
        <v>280683.7</v>
      </c>
      <c r="O9" s="30">
        <v>279986.40000000002</v>
      </c>
      <c r="P9" s="30">
        <f t="shared" si="4"/>
        <v>697.29999999998836</v>
      </c>
    </row>
    <row r="10" spans="1:16" ht="24.95" customHeight="1" x14ac:dyDescent="0.55000000000000004">
      <c r="A10" s="6" t="s">
        <v>27</v>
      </c>
      <c r="B10" s="7">
        <v>95</v>
      </c>
      <c r="C10" s="7">
        <v>369</v>
      </c>
      <c r="D10" s="7">
        <v>2952</v>
      </c>
      <c r="E10" s="8">
        <v>3.8842105263157896</v>
      </c>
      <c r="F10" s="9">
        <v>95</v>
      </c>
      <c r="G10" s="9">
        <f t="shared" si="0"/>
        <v>662.70000000001164</v>
      </c>
      <c r="H10" s="9">
        <f>G10*8</f>
        <v>5301.6000000000931</v>
      </c>
      <c r="I10" s="8">
        <f t="shared" si="2"/>
        <v>6.9757894736843333</v>
      </c>
      <c r="J10" s="19">
        <f t="shared" si="3"/>
        <v>0.79593495934962499</v>
      </c>
      <c r="K10" s="20">
        <f t="shared" si="5"/>
        <v>0.7959349593496251</v>
      </c>
      <c r="M10" s="26" t="s">
        <v>28</v>
      </c>
      <c r="N10" s="30">
        <v>281346.40000000002</v>
      </c>
      <c r="O10" s="30">
        <v>280683.7</v>
      </c>
      <c r="P10" s="30">
        <f t="shared" si="4"/>
        <v>662.70000000001164</v>
      </c>
    </row>
    <row r="11" spans="1:16" ht="24.95" customHeight="1" x14ac:dyDescent="0.55000000000000004">
      <c r="A11" s="6" t="s">
        <v>29</v>
      </c>
      <c r="B11" s="7">
        <v>95</v>
      </c>
      <c r="C11" s="7">
        <v>462.10000000003492</v>
      </c>
      <c r="D11" s="7">
        <v>3696.8000000002794</v>
      </c>
      <c r="E11" s="8">
        <v>4.8642105263161568</v>
      </c>
      <c r="F11" s="9">
        <v>95</v>
      </c>
      <c r="G11" s="9">
        <f t="shared" si="0"/>
        <v>642.69999999995343</v>
      </c>
      <c r="H11" s="9">
        <f>G11*8</f>
        <v>5141.5999999996275</v>
      </c>
      <c r="I11" s="8">
        <f t="shared" si="2"/>
        <v>6.765263157894247</v>
      </c>
      <c r="J11" s="19">
        <f t="shared" si="3"/>
        <v>0.39082449686194515</v>
      </c>
      <c r="K11" s="20">
        <f t="shared" si="5"/>
        <v>0.39082449686194531</v>
      </c>
      <c r="M11" s="26" t="s">
        <v>30</v>
      </c>
      <c r="N11" s="30">
        <v>281989.09999999998</v>
      </c>
      <c r="O11" s="30">
        <v>281346.40000000002</v>
      </c>
      <c r="P11" s="30">
        <f t="shared" si="4"/>
        <v>642.69999999995343</v>
      </c>
    </row>
    <row r="12" spans="1:16" ht="24.95" customHeight="1" x14ac:dyDescent="0.55000000000000004">
      <c r="A12" s="6" t="s">
        <v>31</v>
      </c>
      <c r="B12" s="7">
        <v>95</v>
      </c>
      <c r="C12" s="7">
        <v>348.59999999997672</v>
      </c>
      <c r="D12" s="7">
        <v>2788.7999999998137</v>
      </c>
      <c r="E12" s="8">
        <v>3.6694736842102813</v>
      </c>
      <c r="F12" s="9">
        <v>95</v>
      </c>
      <c r="G12" s="9">
        <f t="shared" si="0"/>
        <v>696.5</v>
      </c>
      <c r="H12" s="9">
        <f t="shared" si="1"/>
        <v>5572</v>
      </c>
      <c r="I12" s="8">
        <f t="shared" si="2"/>
        <v>7.3315789473684214</v>
      </c>
      <c r="J12" s="19">
        <f t="shared" si="3"/>
        <v>0.99799196787161937</v>
      </c>
      <c r="K12" s="20">
        <f t="shared" si="5"/>
        <v>0.99799196787161948</v>
      </c>
      <c r="M12" s="26" t="s">
        <v>32</v>
      </c>
      <c r="N12" s="30">
        <v>282685.59999999998</v>
      </c>
      <c r="O12" s="30">
        <v>281989.09999999998</v>
      </c>
      <c r="P12" s="30">
        <f t="shared" si="4"/>
        <v>696.5</v>
      </c>
    </row>
    <row r="13" spans="1:16" ht="24.95" customHeight="1" x14ac:dyDescent="0.55000000000000004">
      <c r="A13" s="6" t="s">
        <v>33</v>
      </c>
      <c r="B13" s="7">
        <v>95</v>
      </c>
      <c r="C13" s="7">
        <v>355.5</v>
      </c>
      <c r="D13" s="7">
        <v>2844</v>
      </c>
      <c r="E13" s="8">
        <v>3.7421052631578946</v>
      </c>
      <c r="F13" s="9">
        <v>95</v>
      </c>
      <c r="G13" s="9">
        <f t="shared" si="0"/>
        <v>734.10000000003492</v>
      </c>
      <c r="H13" s="9">
        <f t="shared" si="1"/>
        <v>5872.8000000002794</v>
      </c>
      <c r="I13" s="8">
        <f t="shared" si="2"/>
        <v>7.7273684210529989</v>
      </c>
      <c r="J13" s="19">
        <f t="shared" si="3"/>
        <v>1.0649789029536847</v>
      </c>
      <c r="K13" s="20">
        <f t="shared" si="5"/>
        <v>1.0649789029536847</v>
      </c>
      <c r="M13" s="26" t="s">
        <v>34</v>
      </c>
      <c r="N13" s="30">
        <v>283419.7</v>
      </c>
      <c r="O13" s="30">
        <v>282685.59999999998</v>
      </c>
      <c r="P13" s="30">
        <f t="shared" si="4"/>
        <v>734.10000000003492</v>
      </c>
    </row>
    <row r="14" spans="1:16" ht="24.95" customHeight="1" x14ac:dyDescent="0.55000000000000004">
      <c r="A14" s="6" t="s">
        <v>35</v>
      </c>
      <c r="B14" s="7">
        <v>95</v>
      </c>
      <c r="C14" s="7">
        <v>463.59999999997672</v>
      </c>
      <c r="D14" s="7">
        <v>3708.7999999998137</v>
      </c>
      <c r="E14" s="8">
        <v>4.8799999999997548</v>
      </c>
      <c r="F14" s="9">
        <v>95</v>
      </c>
      <c r="G14" s="9">
        <f t="shared" si="0"/>
        <v>599.39999999996508</v>
      </c>
      <c r="H14" s="9">
        <f t="shared" si="1"/>
        <v>4795.1999999997206</v>
      </c>
      <c r="I14" s="8">
        <f t="shared" si="2"/>
        <v>6.3094736842101584</v>
      </c>
      <c r="J14" s="19">
        <f t="shared" si="3"/>
        <v>0.29292493528903185</v>
      </c>
      <c r="K14" s="20">
        <f t="shared" si="5"/>
        <v>0.29292493528903185</v>
      </c>
      <c r="M14" s="26" t="s">
        <v>36</v>
      </c>
      <c r="N14" s="30">
        <v>284019.09999999998</v>
      </c>
      <c r="O14" s="30">
        <v>283419.7</v>
      </c>
      <c r="P14" s="30">
        <f t="shared" si="4"/>
        <v>599.39999999996508</v>
      </c>
    </row>
    <row r="15" spans="1:16" ht="24.95" customHeight="1" x14ac:dyDescent="0.55000000000000004">
      <c r="A15" s="6" t="s">
        <v>37</v>
      </c>
      <c r="B15" s="7">
        <v>95</v>
      </c>
      <c r="C15" s="7">
        <v>508.10000000003492</v>
      </c>
      <c r="D15" s="7">
        <v>4064.8000000002794</v>
      </c>
      <c r="E15" s="8">
        <v>5.3484210526319469</v>
      </c>
      <c r="F15" s="9">
        <v>95</v>
      </c>
      <c r="G15" s="9">
        <f t="shared" si="0"/>
        <v>840.60000000003492</v>
      </c>
      <c r="H15" s="9">
        <f t="shared" si="1"/>
        <v>6724.8000000002794</v>
      </c>
      <c r="I15" s="8">
        <f t="shared" si="2"/>
        <v>8.8484210526319469</v>
      </c>
      <c r="J15" s="19">
        <f t="shared" si="3"/>
        <v>0.65439874040538704</v>
      </c>
      <c r="K15" s="20">
        <f t="shared" si="5"/>
        <v>0.65439874040538704</v>
      </c>
      <c r="M15" s="26" t="s">
        <v>38</v>
      </c>
      <c r="N15" s="30">
        <v>284859.7</v>
      </c>
      <c r="O15" s="30">
        <v>284019.09999999998</v>
      </c>
      <c r="P15" s="30">
        <f t="shared" si="4"/>
        <v>840.60000000003492</v>
      </c>
    </row>
    <row r="16" spans="1:16" ht="24.95" customHeight="1" x14ac:dyDescent="0.55000000000000004">
      <c r="A16" s="6" t="s">
        <v>39</v>
      </c>
      <c r="B16" s="7">
        <v>95</v>
      </c>
      <c r="C16" s="7">
        <v>1032.5999999999767</v>
      </c>
      <c r="D16" s="7">
        <v>8260.7999999998137</v>
      </c>
      <c r="E16" s="8">
        <v>10.869473684210281</v>
      </c>
      <c r="F16" s="9">
        <v>95</v>
      </c>
      <c r="G16" s="9">
        <f t="shared" si="0"/>
        <v>928.09999999997672</v>
      </c>
      <c r="H16" s="9">
        <f t="shared" si="1"/>
        <v>7424.7999999998137</v>
      </c>
      <c r="I16" s="8">
        <f t="shared" si="2"/>
        <v>9.769473684210281</v>
      </c>
      <c r="J16" s="19">
        <f t="shared" si="3"/>
        <v>-0.10120085221770517</v>
      </c>
      <c r="K16" s="20">
        <f t="shared" si="5"/>
        <v>-0.10120085221770514</v>
      </c>
      <c r="M16" s="26" t="s">
        <v>40</v>
      </c>
      <c r="N16" s="30">
        <v>285787.8</v>
      </c>
      <c r="O16" s="30">
        <v>284859.7</v>
      </c>
      <c r="P16" s="30">
        <f t="shared" si="4"/>
        <v>928.09999999997672</v>
      </c>
    </row>
    <row r="17" spans="1:11" ht="24.95" customHeight="1" x14ac:dyDescent="0.55000000000000004">
      <c r="A17" s="6" t="s">
        <v>41</v>
      </c>
      <c r="B17" s="8">
        <f>AVERAGE(B5:B16)</f>
        <v>95</v>
      </c>
      <c r="C17" s="8">
        <f t="shared" ref="C17:H17" si="6">AVERAGE(C5:C16)</f>
        <v>472.19999999999709</v>
      </c>
      <c r="D17" s="8">
        <f t="shared" si="6"/>
        <v>3777.5999999999767</v>
      </c>
      <c r="E17" s="8">
        <f t="shared" si="6"/>
        <v>4.970526315789443</v>
      </c>
      <c r="F17" s="8">
        <f t="shared" si="6"/>
        <v>95</v>
      </c>
      <c r="G17" s="8">
        <f>AVERAGE(G5:G16)</f>
        <v>694.79166666666663</v>
      </c>
      <c r="H17" s="8">
        <f t="shared" si="6"/>
        <v>5558.333333333333</v>
      </c>
      <c r="I17" s="8">
        <f>G17/F17</f>
        <v>7.3135964912280702</v>
      </c>
      <c r="J17" s="19">
        <f>(G17-C17)/C17</f>
        <v>0.47139277142454661</v>
      </c>
      <c r="K17" s="20">
        <f>(I17-E17)/E17</f>
        <v>0.47139277142454672</v>
      </c>
    </row>
    <row r="18" spans="1:11" ht="24.95" customHeight="1" x14ac:dyDescent="0.55000000000000004">
      <c r="A18" s="6" t="s">
        <v>42</v>
      </c>
      <c r="B18" s="8">
        <f t="shared" ref="B18:I18" si="7">SUM(B5:B16)</f>
        <v>1140</v>
      </c>
      <c r="C18" s="8">
        <f t="shared" si="7"/>
        <v>5666.3999999999651</v>
      </c>
      <c r="D18" s="8">
        <f t="shared" si="7"/>
        <v>45331.199999999721</v>
      </c>
      <c r="E18" s="8">
        <f t="shared" si="7"/>
        <v>59.64631578947332</v>
      </c>
      <c r="F18" s="8">
        <f t="shared" si="7"/>
        <v>1140</v>
      </c>
      <c r="G18" s="8">
        <f t="shared" si="7"/>
        <v>8337.5</v>
      </c>
      <c r="H18" s="8">
        <f t="shared" si="7"/>
        <v>66700</v>
      </c>
      <c r="I18" s="8">
        <f t="shared" si="7"/>
        <v>87.76315789473685</v>
      </c>
      <c r="J18" s="19">
        <f t="shared" si="3"/>
        <v>0.47139277142454672</v>
      </c>
      <c r="K18" s="20">
        <f t="shared" si="5"/>
        <v>0.47139277142454672</v>
      </c>
    </row>
    <row r="19" spans="1:11" ht="21.75" customHeight="1" x14ac:dyDescent="0.55000000000000004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 x14ac:dyDescent="0.55000000000000004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 x14ac:dyDescent="0.55000000000000004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2" ht="21.95" customHeight="1" x14ac:dyDescent="0.35"/>
    <row r="43" spans="1:12" ht="29.25" customHeight="1" x14ac:dyDescent="0.35">
      <c r="A43" s="46" t="s">
        <v>99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</row>
    <row r="44" spans="1:12" ht="21.75" customHeight="1" x14ac:dyDescent="0.3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 spans="1:12" ht="21.75" customHeight="1" x14ac:dyDescent="0.3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 spans="1:12" ht="21.75" customHeight="1" x14ac:dyDescent="0.3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2" ht="27" customHeight="1" x14ac:dyDescent="0.3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ht="27" customHeight="1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</row>
    <row r="49" spans="1:12" ht="27" customHeight="1" x14ac:dyDescent="0.3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2" ht="42" customHeight="1" x14ac:dyDescent="0.35">
      <c r="A50" s="48" t="s">
        <v>100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</row>
    <row r="51" spans="1:12" s="14" customFormat="1" ht="30" customHeight="1" x14ac:dyDescent="0.2">
      <c r="A51" s="38" t="s">
        <v>101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</row>
    <row r="52" spans="1:12" s="14" customFormat="1" ht="50.1" customHeight="1" x14ac:dyDescent="0.2">
      <c r="A52" s="15" t="s">
        <v>46</v>
      </c>
      <c r="B52" s="35" t="s">
        <v>102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spans="1:12" s="14" customFormat="1" ht="50.1" customHeight="1" x14ac:dyDescent="0.2">
      <c r="A53" s="40" t="s">
        <v>48</v>
      </c>
      <c r="B53" s="40"/>
      <c r="C53" s="34" t="s">
        <v>103</v>
      </c>
      <c r="D53" s="34"/>
      <c r="E53" s="34"/>
      <c r="F53" s="34"/>
      <c r="G53" s="34"/>
      <c r="H53" s="34"/>
      <c r="I53" s="34"/>
      <c r="J53" s="34"/>
      <c r="K53" s="34"/>
      <c r="L53" s="34"/>
    </row>
    <row r="54" spans="1:12" s="14" customFormat="1" ht="50.1" customHeight="1" x14ac:dyDescent="0.2">
      <c r="A54" s="15" t="s">
        <v>50</v>
      </c>
      <c r="B54" s="15"/>
      <c r="C54" s="34" t="s">
        <v>104</v>
      </c>
      <c r="D54" s="34"/>
      <c r="E54" s="34"/>
      <c r="F54" s="34"/>
      <c r="G54" s="34"/>
      <c r="H54" s="34"/>
      <c r="I54" s="34"/>
      <c r="J54" s="34"/>
      <c r="K54" s="34"/>
      <c r="L54" s="34"/>
    </row>
    <row r="55" spans="1:12" s="14" customFormat="1" ht="30" customHeight="1" x14ac:dyDescent="0.2">
      <c r="A55" s="38" t="s">
        <v>105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</row>
    <row r="56" spans="1:12" s="14" customFormat="1" ht="50.1" customHeight="1" x14ac:dyDescent="0.2">
      <c r="A56" s="15" t="s">
        <v>46</v>
      </c>
      <c r="B56" s="35" t="s">
        <v>106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</row>
    <row r="57" spans="1:12" s="14" customFormat="1" ht="50.1" customHeight="1" x14ac:dyDescent="0.2">
      <c r="A57" s="40" t="s">
        <v>48</v>
      </c>
      <c r="B57" s="40"/>
      <c r="C57" s="33" t="s">
        <v>107</v>
      </c>
      <c r="D57" s="33"/>
      <c r="E57" s="33"/>
      <c r="F57" s="33"/>
      <c r="G57" s="33"/>
      <c r="H57" s="33"/>
      <c r="I57" s="33"/>
      <c r="J57" s="33"/>
      <c r="K57" s="33"/>
      <c r="L57" s="33"/>
    </row>
    <row r="58" spans="1:12" s="14" customFormat="1" ht="50.1" customHeight="1" x14ac:dyDescent="0.2">
      <c r="A58" s="15" t="s">
        <v>50</v>
      </c>
      <c r="B58" s="36" t="s">
        <v>104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s="14" customFormat="1" ht="30" customHeight="1" x14ac:dyDescent="0.2">
      <c r="A59" s="38" t="s">
        <v>108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  <row r="60" spans="1:12" s="14" customFormat="1" ht="50.1" customHeight="1" x14ac:dyDescent="0.2">
      <c r="A60" s="15" t="s">
        <v>46</v>
      </c>
      <c r="B60" s="35" t="s">
        <v>109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s="14" customFormat="1" ht="50.1" customHeight="1" x14ac:dyDescent="0.2">
      <c r="A61" s="40" t="s">
        <v>48</v>
      </c>
      <c r="B61" s="40"/>
      <c r="C61" s="33" t="s">
        <v>110</v>
      </c>
      <c r="D61" s="33"/>
      <c r="E61" s="33"/>
      <c r="F61" s="33"/>
      <c r="G61" s="33"/>
      <c r="H61" s="33"/>
      <c r="I61" s="33"/>
      <c r="J61" s="33"/>
      <c r="K61" s="33"/>
      <c r="L61" s="33"/>
    </row>
    <row r="62" spans="1:12" s="14" customFormat="1" ht="50.1" customHeight="1" x14ac:dyDescent="0.2">
      <c r="A62" s="15" t="s">
        <v>50</v>
      </c>
      <c r="B62" s="15"/>
      <c r="C62" s="33" t="s">
        <v>111</v>
      </c>
      <c r="D62" s="33"/>
      <c r="E62" s="33"/>
      <c r="F62" s="33"/>
      <c r="G62" s="33"/>
      <c r="H62" s="33"/>
      <c r="I62" s="33"/>
      <c r="J62" s="33"/>
      <c r="K62" s="33"/>
      <c r="L62" s="33"/>
    </row>
    <row r="63" spans="1:12" s="14" customFormat="1" ht="30" customHeight="1" x14ac:dyDescent="0.2">
      <c r="A63" s="38" t="s">
        <v>112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</row>
    <row r="64" spans="1:12" s="14" customFormat="1" ht="50.1" customHeight="1" x14ac:dyDescent="0.2">
      <c r="A64" s="21" t="s">
        <v>58</v>
      </c>
      <c r="B64" s="15"/>
      <c r="C64" s="35" t="s">
        <v>113</v>
      </c>
      <c r="D64" s="35"/>
      <c r="E64" s="35"/>
      <c r="F64" s="35"/>
      <c r="G64" s="35"/>
      <c r="H64" s="35"/>
      <c r="I64" s="35"/>
      <c r="J64" s="35"/>
      <c r="K64" s="35"/>
      <c r="L64" s="35"/>
    </row>
    <row r="65" spans="1:12" s="14" customFormat="1" ht="50.1" customHeight="1" x14ac:dyDescent="0.2">
      <c r="A65" s="35" t="s">
        <v>54</v>
      </c>
      <c r="B65" s="35"/>
      <c r="C65" s="34" t="s">
        <v>114</v>
      </c>
      <c r="D65" s="34"/>
      <c r="E65" s="34"/>
      <c r="F65" s="34"/>
      <c r="G65" s="34"/>
      <c r="H65" s="34"/>
      <c r="I65" s="34"/>
      <c r="J65" s="34"/>
      <c r="K65" s="34"/>
      <c r="L65" s="34"/>
    </row>
    <row r="66" spans="1:12" s="14" customFormat="1" ht="50.1" customHeight="1" x14ac:dyDescent="0.2">
      <c r="A66" s="15" t="s">
        <v>50</v>
      </c>
      <c r="B66" s="15"/>
      <c r="C66" s="34" t="s">
        <v>115</v>
      </c>
      <c r="D66" s="34"/>
      <c r="E66" s="34"/>
      <c r="F66" s="34"/>
      <c r="G66" s="34"/>
      <c r="H66" s="34"/>
      <c r="I66" s="34"/>
      <c r="J66" s="34"/>
      <c r="K66" s="34"/>
      <c r="L66" s="34"/>
    </row>
    <row r="67" spans="1:12" s="14" customFormat="1" ht="30" customHeight="1" x14ac:dyDescent="0.2">
      <c r="A67" s="38" t="s">
        <v>116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</row>
    <row r="68" spans="1:12" s="14" customFormat="1" ht="50.1" customHeight="1" x14ac:dyDescent="0.2">
      <c r="A68" s="21" t="s">
        <v>58</v>
      </c>
      <c r="B68" s="15"/>
      <c r="C68" s="37" t="s">
        <v>117</v>
      </c>
      <c r="D68" s="37"/>
      <c r="E68" s="37"/>
      <c r="F68" s="37"/>
      <c r="G68" s="37"/>
      <c r="H68" s="37"/>
      <c r="I68" s="37"/>
      <c r="J68" s="37"/>
      <c r="K68" s="37"/>
      <c r="L68" s="37"/>
    </row>
    <row r="69" spans="1:12" s="14" customFormat="1" ht="50.1" customHeight="1" x14ac:dyDescent="0.2">
      <c r="A69" s="35" t="s">
        <v>54</v>
      </c>
      <c r="B69" s="35"/>
      <c r="C69" s="33" t="s">
        <v>118</v>
      </c>
      <c r="D69" s="33"/>
      <c r="E69" s="33"/>
      <c r="F69" s="33"/>
      <c r="G69" s="33"/>
      <c r="H69" s="33"/>
      <c r="I69" s="33"/>
      <c r="J69" s="33"/>
      <c r="K69" s="33"/>
      <c r="L69" s="33"/>
    </row>
    <row r="70" spans="1:12" s="14" customFormat="1" ht="50.1" customHeight="1" x14ac:dyDescent="0.2">
      <c r="A70" s="15" t="s">
        <v>50</v>
      </c>
      <c r="B70" s="15"/>
      <c r="C70" s="41" t="s">
        <v>119</v>
      </c>
      <c r="D70" s="41"/>
      <c r="E70" s="41"/>
      <c r="F70" s="41"/>
      <c r="G70" s="41"/>
      <c r="H70" s="41"/>
      <c r="I70" s="41"/>
      <c r="J70" s="41"/>
      <c r="K70" s="41"/>
      <c r="L70" s="41"/>
    </row>
    <row r="71" spans="1:12" s="14" customFormat="1" ht="30" customHeight="1" x14ac:dyDescent="0.2">
      <c r="A71" s="38" t="s">
        <v>120</v>
      </c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</row>
    <row r="72" spans="1:12" s="14" customFormat="1" ht="50.1" customHeight="1" x14ac:dyDescent="0.2">
      <c r="A72" s="21" t="s">
        <v>58</v>
      </c>
      <c r="B72" s="15"/>
      <c r="C72" s="35" t="s">
        <v>121</v>
      </c>
      <c r="D72" s="35"/>
      <c r="E72" s="35"/>
      <c r="F72" s="35"/>
      <c r="G72" s="35"/>
      <c r="H72" s="35"/>
      <c r="I72" s="35"/>
      <c r="J72" s="35"/>
      <c r="K72" s="35"/>
      <c r="L72" s="35"/>
    </row>
    <row r="73" spans="1:12" s="14" customFormat="1" ht="50.1" customHeight="1" x14ac:dyDescent="0.2">
      <c r="A73" s="35" t="s">
        <v>54</v>
      </c>
      <c r="B73" s="35"/>
      <c r="C73" s="39" t="s">
        <v>122</v>
      </c>
      <c r="D73" s="42"/>
      <c r="E73" s="42"/>
      <c r="F73" s="42"/>
      <c r="G73" s="42"/>
      <c r="H73" s="42"/>
      <c r="I73" s="42"/>
      <c r="J73" s="42"/>
      <c r="K73" s="42"/>
      <c r="L73" s="42"/>
    </row>
    <row r="74" spans="1:12" s="14" customFormat="1" ht="50.1" customHeight="1" x14ac:dyDescent="0.2">
      <c r="A74" s="15" t="s">
        <v>50</v>
      </c>
      <c r="B74" s="15"/>
      <c r="C74" s="34" t="s">
        <v>104</v>
      </c>
      <c r="D74" s="34"/>
      <c r="E74" s="34"/>
      <c r="F74" s="34"/>
      <c r="G74" s="34"/>
      <c r="H74" s="34"/>
      <c r="I74" s="34"/>
      <c r="J74" s="34"/>
      <c r="K74" s="34"/>
      <c r="L74" s="34"/>
    </row>
    <row r="75" spans="1:12" s="14" customFormat="1" ht="30" customHeight="1" x14ac:dyDescent="0.2">
      <c r="A75" s="38" t="s">
        <v>123</v>
      </c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</row>
    <row r="76" spans="1:12" s="14" customFormat="1" ht="39.950000000000003" customHeight="1" x14ac:dyDescent="0.2">
      <c r="A76" s="15" t="s">
        <v>46</v>
      </c>
      <c r="B76" s="15"/>
      <c r="C76" s="35" t="s">
        <v>124</v>
      </c>
      <c r="D76" s="35"/>
      <c r="E76" s="35"/>
      <c r="F76" s="35"/>
      <c r="G76" s="35"/>
      <c r="H76" s="35"/>
      <c r="I76" s="35"/>
      <c r="J76" s="35"/>
      <c r="K76" s="35"/>
      <c r="L76" s="35"/>
    </row>
    <row r="77" spans="1:12" s="14" customFormat="1" ht="39.950000000000003" customHeight="1" x14ac:dyDescent="0.2">
      <c r="A77" s="40" t="s">
        <v>54</v>
      </c>
      <c r="B77" s="40"/>
      <c r="C77" s="33" t="s">
        <v>125</v>
      </c>
      <c r="D77" s="33"/>
      <c r="E77" s="33"/>
      <c r="F77" s="33"/>
      <c r="G77" s="33"/>
      <c r="H77" s="33"/>
      <c r="I77" s="33"/>
      <c r="J77" s="33"/>
      <c r="K77" s="33"/>
      <c r="L77" s="33"/>
    </row>
    <row r="78" spans="1:12" s="14" customFormat="1" ht="39.950000000000003" customHeight="1" x14ac:dyDescent="0.2">
      <c r="A78" s="15" t="s">
        <v>50</v>
      </c>
      <c r="B78" s="15"/>
      <c r="C78" s="34" t="s">
        <v>104</v>
      </c>
      <c r="D78" s="34"/>
      <c r="E78" s="34"/>
      <c r="F78" s="34"/>
      <c r="G78" s="34"/>
      <c r="H78" s="34"/>
      <c r="I78" s="34"/>
      <c r="J78" s="34"/>
      <c r="K78" s="34"/>
      <c r="L78" s="34"/>
    </row>
    <row r="79" spans="1:12" s="14" customFormat="1" ht="30" customHeight="1" x14ac:dyDescent="0.2">
      <c r="A79" s="38" t="s">
        <v>126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</row>
    <row r="80" spans="1:12" s="14" customFormat="1" ht="39.950000000000003" customHeight="1" x14ac:dyDescent="0.2">
      <c r="A80" s="15" t="s">
        <v>46</v>
      </c>
      <c r="B80" s="15"/>
      <c r="C80" s="35" t="s">
        <v>127</v>
      </c>
      <c r="D80" s="35"/>
      <c r="E80" s="35"/>
      <c r="F80" s="35"/>
      <c r="G80" s="35"/>
      <c r="H80" s="35"/>
      <c r="I80" s="35"/>
      <c r="J80" s="35"/>
      <c r="K80" s="35"/>
      <c r="L80" s="35"/>
    </row>
    <row r="81" spans="1:20" s="14" customFormat="1" ht="39.950000000000003" customHeight="1" x14ac:dyDescent="0.2">
      <c r="A81" s="40" t="s">
        <v>54</v>
      </c>
      <c r="B81" s="40"/>
      <c r="C81" s="33" t="s">
        <v>128</v>
      </c>
      <c r="D81" s="33"/>
      <c r="E81" s="33"/>
      <c r="F81" s="33"/>
      <c r="G81" s="33"/>
      <c r="H81" s="33"/>
      <c r="I81" s="33"/>
      <c r="J81" s="33"/>
      <c r="K81" s="33"/>
      <c r="L81" s="33"/>
    </row>
    <row r="82" spans="1:20" s="14" customFormat="1" ht="39.950000000000003" customHeight="1" x14ac:dyDescent="0.2">
      <c r="A82" s="15" t="s">
        <v>50</v>
      </c>
      <c r="B82" s="15"/>
      <c r="C82" s="34" t="s">
        <v>104</v>
      </c>
      <c r="D82" s="34"/>
      <c r="E82" s="34"/>
      <c r="F82" s="34"/>
      <c r="G82" s="34"/>
      <c r="H82" s="34"/>
      <c r="I82" s="34"/>
      <c r="J82" s="34"/>
      <c r="K82" s="34"/>
      <c r="L82" s="34"/>
    </row>
    <row r="83" spans="1:20" s="14" customFormat="1" ht="30" customHeight="1" x14ac:dyDescent="0.2">
      <c r="A83" s="38" t="s">
        <v>129</v>
      </c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</row>
    <row r="84" spans="1:20" s="14" customFormat="1" ht="39.950000000000003" customHeight="1" x14ac:dyDescent="0.2">
      <c r="A84" s="15" t="s">
        <v>46</v>
      </c>
      <c r="B84" s="15"/>
      <c r="C84" s="35" t="s">
        <v>130</v>
      </c>
      <c r="D84" s="35"/>
      <c r="E84" s="35"/>
      <c r="F84" s="35"/>
      <c r="G84" s="35"/>
      <c r="H84" s="35"/>
      <c r="I84" s="35"/>
      <c r="J84" s="35"/>
      <c r="K84" s="35"/>
      <c r="L84" s="35"/>
      <c r="M84" s="17"/>
      <c r="N84" s="17"/>
      <c r="O84" s="17"/>
      <c r="P84" s="17"/>
      <c r="Q84" s="17"/>
      <c r="R84" s="17"/>
      <c r="S84" s="17"/>
      <c r="T84" s="17"/>
    </row>
    <row r="85" spans="1:20" s="14" customFormat="1" ht="39.950000000000003" customHeight="1" x14ac:dyDescent="0.2">
      <c r="A85" s="35" t="s">
        <v>54</v>
      </c>
      <c r="B85" s="35"/>
      <c r="C85" s="33" t="s">
        <v>125</v>
      </c>
      <c r="D85" s="33"/>
      <c r="E85" s="33"/>
      <c r="F85" s="33"/>
      <c r="G85" s="33"/>
      <c r="H85" s="33"/>
      <c r="I85" s="33"/>
      <c r="J85" s="33"/>
      <c r="K85" s="33"/>
      <c r="L85" s="33"/>
      <c r="M85" s="17"/>
      <c r="N85" s="17"/>
      <c r="O85" s="17"/>
      <c r="P85" s="17"/>
      <c r="Q85" s="17"/>
      <c r="R85" s="17"/>
      <c r="S85" s="17"/>
      <c r="T85" s="17"/>
    </row>
    <row r="86" spans="1:20" s="14" customFormat="1" ht="39.950000000000003" customHeight="1" x14ac:dyDescent="0.2">
      <c r="A86" s="15" t="s">
        <v>50</v>
      </c>
      <c r="B86" s="15"/>
      <c r="C86" s="34" t="s">
        <v>104</v>
      </c>
      <c r="D86" s="34"/>
      <c r="E86" s="34"/>
      <c r="F86" s="34"/>
      <c r="G86" s="34"/>
      <c r="H86" s="34"/>
      <c r="I86" s="34"/>
      <c r="J86" s="34"/>
      <c r="K86" s="34"/>
      <c r="L86" s="34"/>
      <c r="M86" s="17"/>
      <c r="N86" s="17"/>
      <c r="O86" s="17"/>
      <c r="P86" s="17"/>
      <c r="Q86" s="17"/>
      <c r="R86" s="17"/>
      <c r="S86" s="17"/>
      <c r="T86" s="17"/>
    </row>
    <row r="87" spans="1:20" s="14" customFormat="1" ht="30" customHeight="1" x14ac:dyDescent="0.2">
      <c r="A87" s="38" t="s">
        <v>131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</row>
    <row r="88" spans="1:20" s="18" customFormat="1" ht="39.950000000000003" customHeight="1" x14ac:dyDescent="0.55000000000000004">
      <c r="A88" s="15" t="s">
        <v>46</v>
      </c>
      <c r="B88" s="15"/>
      <c r="C88" s="35" t="s">
        <v>132</v>
      </c>
      <c r="D88" s="35"/>
      <c r="E88" s="35"/>
      <c r="F88" s="35"/>
      <c r="G88" s="35"/>
      <c r="H88" s="35"/>
      <c r="I88" s="35"/>
      <c r="J88" s="35"/>
      <c r="K88" s="35"/>
      <c r="L88" s="35"/>
    </row>
    <row r="89" spans="1:20" s="18" customFormat="1" ht="39.950000000000003" customHeight="1" x14ac:dyDescent="0.55000000000000004">
      <c r="A89" s="35" t="s">
        <v>54</v>
      </c>
      <c r="B89" s="35"/>
      <c r="C89" s="39" t="s">
        <v>133</v>
      </c>
      <c r="D89" s="35"/>
      <c r="E89" s="35"/>
      <c r="F89" s="35"/>
      <c r="G89" s="35"/>
      <c r="H89" s="35"/>
      <c r="I89" s="35"/>
      <c r="J89" s="35"/>
      <c r="K89" s="35"/>
      <c r="L89" s="35"/>
    </row>
    <row r="90" spans="1:20" s="18" customFormat="1" ht="39.950000000000003" customHeight="1" x14ac:dyDescent="0.55000000000000004">
      <c r="A90" s="15" t="s">
        <v>50</v>
      </c>
      <c r="B90" s="15"/>
      <c r="C90" s="33" t="s">
        <v>134</v>
      </c>
      <c r="D90" s="33"/>
      <c r="E90" s="33"/>
      <c r="F90" s="33"/>
      <c r="G90" s="33"/>
      <c r="H90" s="33"/>
      <c r="I90" s="33"/>
      <c r="J90" s="33"/>
      <c r="K90" s="33"/>
      <c r="L90" s="33"/>
    </row>
    <row r="91" spans="1:20" s="18" customFormat="1" ht="30" customHeight="1" x14ac:dyDescent="0.55000000000000004">
      <c r="A91" s="38" t="s">
        <v>135</v>
      </c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</row>
    <row r="92" spans="1:20" s="18" customFormat="1" ht="39.950000000000003" customHeight="1" x14ac:dyDescent="0.55000000000000004">
      <c r="A92" s="15" t="s">
        <v>46</v>
      </c>
      <c r="B92" s="15"/>
      <c r="C92" s="35" t="s">
        <v>136</v>
      </c>
      <c r="D92" s="35"/>
      <c r="E92" s="35"/>
      <c r="F92" s="35"/>
      <c r="G92" s="35"/>
      <c r="H92" s="35"/>
      <c r="I92" s="35"/>
      <c r="J92" s="35"/>
      <c r="K92" s="35"/>
      <c r="L92" s="35"/>
    </row>
    <row r="93" spans="1:20" s="18" customFormat="1" ht="39.950000000000003" customHeight="1" x14ac:dyDescent="0.55000000000000004">
      <c r="A93" s="35" t="s">
        <v>54</v>
      </c>
      <c r="B93" s="35"/>
      <c r="C93" s="33" t="s">
        <v>137</v>
      </c>
      <c r="D93" s="33"/>
      <c r="E93" s="33"/>
      <c r="F93" s="33"/>
      <c r="G93" s="33"/>
      <c r="H93" s="33"/>
      <c r="I93" s="33"/>
      <c r="J93" s="33"/>
      <c r="K93" s="33"/>
      <c r="L93" s="33"/>
    </row>
    <row r="94" spans="1:20" s="18" customFormat="1" ht="39.950000000000003" customHeight="1" x14ac:dyDescent="0.55000000000000004">
      <c r="A94" s="15" t="s">
        <v>50</v>
      </c>
      <c r="B94" s="15"/>
      <c r="C94" s="34" t="s">
        <v>104</v>
      </c>
      <c r="D94" s="34"/>
      <c r="E94" s="34"/>
      <c r="F94" s="34"/>
      <c r="G94" s="34"/>
      <c r="H94" s="34"/>
      <c r="I94" s="34"/>
      <c r="J94" s="34"/>
      <c r="K94" s="34"/>
      <c r="L94" s="34"/>
    </row>
    <row r="95" spans="1:20" s="18" customFormat="1" ht="30" customHeight="1" x14ac:dyDescent="0.55000000000000004">
      <c r="A95" s="38" t="s">
        <v>138</v>
      </c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</row>
    <row r="96" spans="1:20" s="18" customFormat="1" ht="39.950000000000003" customHeight="1" x14ac:dyDescent="0.55000000000000004">
      <c r="A96" s="15" t="s">
        <v>46</v>
      </c>
      <c r="B96" s="15"/>
      <c r="C96" s="35" t="s">
        <v>139</v>
      </c>
      <c r="D96" s="35"/>
      <c r="E96" s="35"/>
      <c r="F96" s="35"/>
      <c r="G96" s="35"/>
      <c r="H96" s="35"/>
      <c r="I96" s="35"/>
      <c r="J96" s="35"/>
      <c r="K96" s="35"/>
      <c r="L96" s="35"/>
    </row>
    <row r="97" spans="1:12" s="18" customFormat="1" ht="39.950000000000003" customHeight="1" x14ac:dyDescent="0.55000000000000004">
      <c r="A97" s="35" t="s">
        <v>54</v>
      </c>
      <c r="B97" s="35"/>
      <c r="C97" s="33" t="s">
        <v>140</v>
      </c>
      <c r="D97" s="33"/>
      <c r="E97" s="33"/>
      <c r="F97" s="33"/>
      <c r="G97" s="33"/>
      <c r="H97" s="33"/>
      <c r="I97" s="33"/>
      <c r="J97" s="33"/>
      <c r="K97" s="33"/>
      <c r="L97" s="33"/>
    </row>
    <row r="98" spans="1:12" s="18" customFormat="1" ht="39.950000000000003" customHeight="1" x14ac:dyDescent="0.55000000000000004">
      <c r="A98" s="15" t="s">
        <v>50</v>
      </c>
      <c r="B98" s="15"/>
      <c r="C98" s="34" t="s">
        <v>141</v>
      </c>
      <c r="D98" s="34"/>
      <c r="E98" s="34"/>
      <c r="F98" s="34"/>
      <c r="G98" s="34"/>
      <c r="H98" s="34"/>
      <c r="I98" s="34"/>
      <c r="J98" s="34"/>
      <c r="K98" s="34"/>
      <c r="L98" s="34"/>
    </row>
    <row r="99" spans="1:12" ht="21.75" customHeight="1" x14ac:dyDescent="0.35">
      <c r="A99" s="3"/>
    </row>
    <row r="100" spans="1:12" ht="21.75" customHeight="1" x14ac:dyDescent="0.35">
      <c r="A100" s="3"/>
    </row>
  </sheetData>
  <mergeCells count="67">
    <mergeCell ref="A57:B57"/>
    <mergeCell ref="B52:L52"/>
    <mergeCell ref="A43:L47"/>
    <mergeCell ref="A50:L50"/>
    <mergeCell ref="A51:L51"/>
    <mergeCell ref="A53:B53"/>
    <mergeCell ref="A55:L55"/>
    <mergeCell ref="C53:L53"/>
    <mergeCell ref="B56:L56"/>
    <mergeCell ref="C57:L57"/>
    <mergeCell ref="C54:L54"/>
    <mergeCell ref="A2:K2"/>
    <mergeCell ref="A3:A4"/>
    <mergeCell ref="B3:E3"/>
    <mergeCell ref="F3:I3"/>
    <mergeCell ref="J3:K3"/>
    <mergeCell ref="A69:B69"/>
    <mergeCell ref="A71:L71"/>
    <mergeCell ref="A73:B73"/>
    <mergeCell ref="A75:L75"/>
    <mergeCell ref="A77:B77"/>
    <mergeCell ref="C69:L69"/>
    <mergeCell ref="C70:L70"/>
    <mergeCell ref="C73:L73"/>
    <mergeCell ref="C72:L72"/>
    <mergeCell ref="A97:B97"/>
    <mergeCell ref="A85:B85"/>
    <mergeCell ref="A87:L87"/>
    <mergeCell ref="A89:B89"/>
    <mergeCell ref="A91:L91"/>
    <mergeCell ref="A93:B93"/>
    <mergeCell ref="A95:L95"/>
    <mergeCell ref="C89:L89"/>
    <mergeCell ref="C90:L90"/>
    <mergeCell ref="C92:L92"/>
    <mergeCell ref="C96:L96"/>
    <mergeCell ref="C93:L93"/>
    <mergeCell ref="C94:L94"/>
    <mergeCell ref="B58:L58"/>
    <mergeCell ref="C64:L64"/>
    <mergeCell ref="C65:L65"/>
    <mergeCell ref="C66:L66"/>
    <mergeCell ref="C68:L68"/>
    <mergeCell ref="B60:L60"/>
    <mergeCell ref="C61:L61"/>
    <mergeCell ref="C62:L62"/>
    <mergeCell ref="A59:L59"/>
    <mergeCell ref="A61:B61"/>
    <mergeCell ref="A63:L63"/>
    <mergeCell ref="A65:B65"/>
    <mergeCell ref="A67:L67"/>
    <mergeCell ref="C74:L74"/>
    <mergeCell ref="C76:L76"/>
    <mergeCell ref="C77:L77"/>
    <mergeCell ref="C78:L78"/>
    <mergeCell ref="C80:L80"/>
    <mergeCell ref="A79:L79"/>
    <mergeCell ref="C81:L81"/>
    <mergeCell ref="C98:L98"/>
    <mergeCell ref="C97:L97"/>
    <mergeCell ref="C82:L82"/>
    <mergeCell ref="C84:L84"/>
    <mergeCell ref="C85:L85"/>
    <mergeCell ref="C86:L86"/>
    <mergeCell ref="C88:L88"/>
    <mergeCell ref="A83:L83"/>
    <mergeCell ref="A81:B8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Props1.xml><?xml version="1.0" encoding="utf-8"?>
<ds:datastoreItem xmlns:ds="http://schemas.openxmlformats.org/officeDocument/2006/customXml" ds:itemID="{9E88D292-7392-4829-8584-1F38B255A7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7EDD7-B84F-40CB-8A27-1BB1A8F09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fd10d-82db-4106-8c5b-83cd3e4ad2c7"/>
    <ds:schemaRef ds:uri="abcb2651-95fa-414f-a10c-971ab93c7c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4F9987-EBB2-4800-8AE2-74517B12219D}">
  <ds:schemaRefs>
    <ds:schemaRef ds:uri="http://schemas.microsoft.com/office/2006/metadata/properties"/>
    <ds:schemaRef ds:uri="http://schemas.microsoft.com/office/infopath/2007/PartnerControls"/>
    <ds:schemaRef ds:uri="7b8fd10d-82db-4106-8c5b-83cd3e4ad2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2567</vt:lpstr>
      <vt:lpstr>2568</vt:lpstr>
    </vt:vector>
  </TitlesOfParts>
  <Manager/>
  <Company>TRAMAS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SAMART</dc:creator>
  <cp:keywords/>
  <dc:description/>
  <cp:lastModifiedBy>Prinya Pianussa</cp:lastModifiedBy>
  <cp:revision/>
  <dcterms:created xsi:type="dcterms:W3CDTF">2012-01-31T04:45:00Z</dcterms:created>
  <dcterms:modified xsi:type="dcterms:W3CDTF">2026-02-27T06:35:02Z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