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nyaPainusa\Downloads\"/>
    </mc:Choice>
  </mc:AlternateContent>
  <xr:revisionPtr revIDLastSave="0" documentId="8_{83686333-4DDF-4CC0-97AC-3DF1E515D786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ตารางวิเคราะห์กระบวนการ" sheetId="1" r:id="rId1"/>
    <sheet name="Input" sheetId="2" r:id="rId2"/>
    <sheet name="Output" sheetId="3" r:id="rId3"/>
    <sheet name="จัดลำดับ (Input)" sheetId="4" r:id="rId4"/>
    <sheet name="จัดลำดับ(Output)" sheetId="5" r:id="rId5"/>
    <sheet name="จัดลำดับ(Output) (29 สค68)" sheetId="8" r:id="rId6"/>
  </sheets>
  <definedNames>
    <definedName name="_xlnm._FilterDatabase" localSheetId="4" hidden="1">'จัดลำดับ(Output)'!$A$1:$H$59</definedName>
    <definedName name="_xlnm._FilterDatabase" localSheetId="5" hidden="1">'จัดลำดับ(Output) (29 สค68)'!$A$4:$L$59</definedName>
    <definedName name="_xlnm.Print_Area" localSheetId="1">Input!$A$1:$Z$62</definedName>
    <definedName name="_xlnm.Print_Area" localSheetId="2">Output!$A$1:$AC$68</definedName>
    <definedName name="_xlnm.Print_Area" localSheetId="3">'จัดลำดับ (Input)'!$A$1:$H$54</definedName>
    <definedName name="_xlnm.Print_Area" localSheetId="0">ตารางวิเคราะห์กระบวนการ!$A$1:$C$105</definedName>
    <definedName name="_xlnm.Print_Titles" localSheetId="1">Input!$1:$5</definedName>
    <definedName name="_xlnm.Print_Titles" localSheetId="2">Output!$4:$8</definedName>
    <definedName name="_xlnm.Print_Titles" localSheetId="3">'จัดลำดับ (Input)'!$1:$4</definedName>
    <definedName name="_xlnm.Print_Titles" localSheetId="4">'จัดลำดับ(Output)'!$1:$3</definedName>
    <definedName name="_xlnm.Print_Titles" localSheetId="5">'จัดลำดับ(Output) (29 สค68)'!$1:$4</definedName>
    <definedName name="_xlnm.Print_Titles" localSheetId="0">ตารางวิเคราะห์กระบวนการ!$1:$4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63" i="3" l="1"/>
  <c r="Y62" i="3"/>
  <c r="Q18" i="2"/>
  <c r="U18" i="2"/>
  <c r="Q19" i="2"/>
  <c r="U19" i="2"/>
  <c r="Q20" i="2"/>
  <c r="U20" i="2"/>
  <c r="V18" i="2" l="1"/>
  <c r="V19" i="2"/>
  <c r="V20" i="2"/>
  <c r="U51" i="2"/>
  <c r="Q51" i="2"/>
  <c r="U47" i="2"/>
  <c r="Q47" i="2"/>
  <c r="U46" i="2"/>
  <c r="Q46" i="2"/>
  <c r="U43" i="2"/>
  <c r="Q43" i="2"/>
  <c r="U41" i="2"/>
  <c r="Q41" i="2"/>
  <c r="V41" i="2" s="1"/>
  <c r="U39" i="2"/>
  <c r="Q39" i="2"/>
  <c r="U38" i="2"/>
  <c r="Q38" i="2"/>
  <c r="V38" i="2" s="1"/>
  <c r="V46" i="2" l="1"/>
  <c r="V51" i="2"/>
  <c r="V39" i="2"/>
  <c r="V43" i="2"/>
  <c r="V47" i="2"/>
  <c r="U45" i="2"/>
  <c r="Q45" i="2"/>
  <c r="U42" i="2"/>
  <c r="Q42" i="2"/>
  <c r="U37" i="2"/>
  <c r="V37" i="2" s="1"/>
  <c r="U36" i="2"/>
  <c r="Q36" i="2"/>
  <c r="U35" i="2"/>
  <c r="Q35" i="2"/>
  <c r="U34" i="2"/>
  <c r="Q34" i="2"/>
  <c r="U32" i="2"/>
  <c r="Q32" i="2"/>
  <c r="U28" i="2"/>
  <c r="Q28" i="2"/>
  <c r="U27" i="2"/>
  <c r="Q27" i="2"/>
  <c r="U26" i="2"/>
  <c r="Q26" i="2"/>
  <c r="U25" i="2"/>
  <c r="Q25" i="2"/>
  <c r="U24" i="2"/>
  <c r="Q24" i="2"/>
  <c r="U23" i="2"/>
  <c r="Q23" i="2"/>
  <c r="U22" i="2"/>
  <c r="Q22" i="2"/>
  <c r="U21" i="2"/>
  <c r="Q21" i="2"/>
  <c r="U17" i="2"/>
  <c r="Q17" i="2"/>
  <c r="U15" i="2"/>
  <c r="Q15" i="2"/>
  <c r="U16" i="2"/>
  <c r="Q16" i="2"/>
  <c r="U14" i="2"/>
  <c r="Q14" i="2"/>
  <c r="U13" i="2"/>
  <c r="Q13" i="2"/>
  <c r="U12" i="2"/>
  <c r="Q12" i="2"/>
  <c r="U11" i="2"/>
  <c r="Q11" i="2"/>
  <c r="U10" i="2"/>
  <c r="Q10" i="2"/>
  <c r="U9" i="2"/>
  <c r="Q9" i="2"/>
  <c r="U8" i="2"/>
  <c r="Q8" i="2"/>
  <c r="U7" i="2"/>
  <c r="Q7" i="2"/>
  <c r="X61" i="3"/>
  <c r="S61" i="3"/>
  <c r="X60" i="3"/>
  <c r="S60" i="3"/>
  <c r="X59" i="3"/>
  <c r="S59" i="3"/>
  <c r="X58" i="3"/>
  <c r="S58" i="3"/>
  <c r="X57" i="3"/>
  <c r="S57" i="3"/>
  <c r="U50" i="2"/>
  <c r="Q50" i="2"/>
  <c r="U49" i="2"/>
  <c r="Q49" i="2"/>
  <c r="U48" i="2"/>
  <c r="Q48" i="2"/>
  <c r="Y61" i="3" l="1"/>
  <c r="V45" i="2"/>
  <c r="Y59" i="3"/>
  <c r="Y60" i="3"/>
  <c r="V42" i="2"/>
  <c r="V22" i="2"/>
  <c r="V24" i="2"/>
  <c r="V26" i="2"/>
  <c r="V28" i="2"/>
  <c r="V34" i="2"/>
  <c r="V32" i="2"/>
  <c r="V35" i="2"/>
  <c r="V36" i="2"/>
  <c r="V25" i="2"/>
  <c r="V17" i="2"/>
  <c r="V23" i="2"/>
  <c r="V27" i="2"/>
  <c r="V21" i="2"/>
  <c r="V9" i="2"/>
  <c r="V13" i="2"/>
  <c r="V16" i="2"/>
  <c r="V49" i="2"/>
  <c r="V8" i="2"/>
  <c r="V12" i="2"/>
  <c r="V7" i="2"/>
  <c r="V11" i="2"/>
  <c r="V10" i="2"/>
  <c r="V14" i="2"/>
  <c r="V15" i="2"/>
  <c r="V48" i="2"/>
  <c r="Y58" i="3"/>
  <c r="Y57" i="3"/>
  <c r="V50" i="2"/>
  <c r="X9" i="3"/>
  <c r="U6" i="2"/>
  <c r="Q6" i="2"/>
  <c r="Y9" i="3" l="1"/>
  <c r="V6" i="2"/>
</calcChain>
</file>

<file path=xl/sharedStrings.xml><?xml version="1.0" encoding="utf-8"?>
<sst xmlns="http://schemas.openxmlformats.org/spreadsheetml/2006/main" count="1957" uniqueCount="234">
  <si>
    <t>แบบฟอร์ม 1.3(1)</t>
  </si>
  <si>
    <t>ตารางวิเคราะห์กระบวนการทำงาน ประจำปี 2568</t>
  </si>
  <si>
    <t>หน่วยงาน อาคารเฉลิมพระเกียรติสมเด็จพระเทพรัตนราชสุดา</t>
  </si>
  <si>
    <t>ปัจจัยนำเข้า (Input)</t>
  </si>
  <si>
    <t>กระบวนการ (Process)</t>
  </si>
  <si>
    <t>ปัจจัยนำออก (Output)</t>
  </si>
  <si>
    <t>การพิมพ์เอกสาร (เครื่องปริ้นเตอร์,เครื่องคอมพิวเตอร์)</t>
  </si>
  <si>
    <t>กระดาษ</t>
  </si>
  <si>
    <t>กระดาษที่พิมพ์เสีย</t>
  </si>
  <si>
    <t>หมึกพิมพ์</t>
  </si>
  <si>
    <t>ตลับหมึกพิมพ์ที่ใช้แล้ว</t>
  </si>
  <si>
    <t>ไฟฟ้า</t>
  </si>
  <si>
    <t>กลิ่นจากหมึกพิมพ์</t>
  </si>
  <si>
    <t>ฝุ่นผงหมึกพิมพ์</t>
  </si>
  <si>
    <t>เสียงดังจากการพิมพ์</t>
  </si>
  <si>
    <t>กล่องหมึกพิมพ์</t>
  </si>
  <si>
    <t xml:space="preserve">การสแกนเอกสาร </t>
  </si>
  <si>
    <t>เสียงดัง</t>
  </si>
  <si>
    <t>ความร้อน</t>
  </si>
  <si>
    <t>ฝุ่นละออง</t>
  </si>
  <si>
    <t>การจัดเตรียมเอกสาร งานสารบรรณ</t>
  </si>
  <si>
    <t>กระดาษที่ใช้แล้ว</t>
  </si>
  <si>
    <t>อุปกรณ์เครื่องเขียน</t>
  </si>
  <si>
    <t>ขยะจากอุปกรณ์เครื่องเขียน</t>
  </si>
  <si>
    <t>การจัดประชุมภายใน</t>
  </si>
  <si>
    <t>กระดาษต้นฉบับที่ใช้แล้ว</t>
  </si>
  <si>
    <t>อาหารว่างและเครื่องดื่ม</t>
  </si>
  <si>
    <t xml:space="preserve"> เศษอาหาร</t>
  </si>
  <si>
    <t xml:space="preserve">ไฟฟ้า </t>
  </si>
  <si>
    <t>ขยะจากล่องบรรจุอาหาร</t>
  </si>
  <si>
    <t>การจัดประชุมภายนอก (Indirect)</t>
  </si>
  <si>
    <t xml:space="preserve">การจัดเก็บเอกสาร </t>
  </si>
  <si>
    <t>การจัดเก็บพัสดุ เบิกจ่ายพัสดุ</t>
  </si>
  <si>
    <t>พัสดุสำนักงาน</t>
  </si>
  <si>
    <t>ขยะจากพัสดุสำนักงาน</t>
  </si>
  <si>
    <t>ขยะจากบรรจุภัณฑ์</t>
  </si>
  <si>
    <t>การทำความสะอาดสำนักงาน</t>
  </si>
  <si>
    <t>น้ำ</t>
  </si>
  <si>
    <t>น้ำเสียจากการทำความสะอาด</t>
  </si>
  <si>
    <t>น้ำยาทำความสะอาด/น้ำยาขัดพื้น ลงแว็กซ์</t>
  </si>
  <si>
    <t>ขยะจากขวดบรรจุภัณฑ์น้ำยาทำความสะอาด</t>
  </si>
  <si>
    <t>อุปกรณ์ทำความสะอาด เช่น ไม้กวาด ไม้ขนไก่ ไม้ม็อบ</t>
  </si>
  <si>
    <t>กลิ่นจากน้ำยาทำความสะอาด</t>
  </si>
  <si>
    <t>ฝุ่นละอองจากการทำความสะอาด</t>
  </si>
  <si>
    <t>เศษขยะในห้อง</t>
  </si>
  <si>
    <t>การรับประทานอาหาร</t>
  </si>
  <si>
    <t>อาหาร/เครื่องดื่ม</t>
  </si>
  <si>
    <t>ถังดักไขมัน</t>
  </si>
  <si>
    <t>เศษอาหาร</t>
  </si>
  <si>
    <t>ขยะจากกล่องบรรจุอาหาร/เครื่องดื่ม</t>
  </si>
  <si>
    <t>กลิ่นอาหาร</t>
  </si>
  <si>
    <t xml:space="preserve">เศษขยะทั่วไป </t>
  </si>
  <si>
    <t>การวิเคราะห์ทดสอบในห้องปฏิบัติการ</t>
  </si>
  <si>
    <t>สารเคมีและวัสดุวิทยาศาสตร์</t>
  </si>
  <si>
    <t>เครื่องมือวิทยาศาสตร์</t>
  </si>
  <si>
    <t>ของเสียจากห้องปฏิบัติการ</t>
  </si>
  <si>
    <t>เครื่องปรับอากาศ</t>
  </si>
  <si>
    <t>น้ำเสีย</t>
  </si>
  <si>
    <t>น้ำยาล้างจาน</t>
  </si>
  <si>
    <t>ขยะจากบรรจุภัณฑ์น้ำยาล้างจาน</t>
  </si>
  <si>
    <t>อุปกรณ์ทำความสะอาด</t>
  </si>
  <si>
    <t>การทำความสะอาดห้องน้ำ</t>
  </si>
  <si>
    <t>น้ำยาทำความสะอาด</t>
  </si>
  <si>
    <t>อุปกรณ์ทำความสะอาด เช่นไม้กวาด แปรงขัดห้องน้ำ ถุงมือ</t>
  </si>
  <si>
    <t>ขยะจากบรรจุภัณฑ์น้ำยาทำความสะอาด</t>
  </si>
  <si>
    <t>ขยะในห้องน้ำ เช่น กระดาษชำระ ผ้าอนามัย</t>
  </si>
  <si>
    <t>การบำรุงรักษาอุปกรณ์ให้แสงสว่าง</t>
  </si>
  <si>
    <t>หลอดไฟ/อุปกรณ์ไฟฟ้า</t>
  </si>
  <si>
    <t>หลอดที่ใช้แล้ว</t>
  </si>
  <si>
    <t>ขยะจากกล่องใส่หลอดไฟ</t>
  </si>
  <si>
    <t>เศษขยะจากอุปกรณ์ชำรุด เทปพันสายไฟ</t>
  </si>
  <si>
    <t>การบำรุงรักษาเครื่องปรับอากาศ (Direct)</t>
  </si>
  <si>
    <t>(การล้างเครื่องปรับอากาศ)</t>
  </si>
  <si>
    <t>ฝุ่นละอองที่ติดอยู่บนแผนกรอง</t>
  </si>
  <si>
    <t>การบำรุงรักษาเครื่องปรับอากาศ (Indirect)</t>
  </si>
  <si>
    <t>(จ้างล้างเครื่องปรับอากาศ)</t>
  </si>
  <si>
    <t>น้ำยาแอร์</t>
  </si>
  <si>
    <t>ขยะจากอุปกรณ์ทำความสะอาด</t>
  </si>
  <si>
    <t>น้ำยาแอร์ที่รั่วไหลออกจากระบบ</t>
  </si>
  <si>
    <t>การดูแลยานพาหนะ</t>
  </si>
  <si>
    <t>น้ำมันเชื้อเพลิง</t>
  </si>
  <si>
    <t>รถยนต์</t>
  </si>
  <si>
    <t>ควัน/ไอระเหยน้ำมัน</t>
  </si>
  <si>
    <t>รถจักรยานยนต์</t>
  </si>
  <si>
    <t>น้ำยาล้างรถ</t>
  </si>
  <si>
    <t>การบำรุงรักษาระบบน้ำ</t>
  </si>
  <si>
    <t>ท่อน้ำ</t>
  </si>
  <si>
    <t>เศษท่อ</t>
  </si>
  <si>
    <t>ก๊อกน้ำ</t>
  </si>
  <si>
    <t>ขยะจากกล่อง</t>
  </si>
  <si>
    <t>อุปกรณ์ซ่อมบำรุง</t>
  </si>
  <si>
    <t>เศษขยะจากอุปกรณ์ชำรุด เทปพันท่อน้ำ</t>
  </si>
  <si>
    <t>ขยะในท่อ</t>
  </si>
  <si>
    <t>น้ำทิ้ง</t>
  </si>
  <si>
    <t>การดูแลภายในอาคาร</t>
  </si>
  <si>
    <t xml:space="preserve">สัตว์พาหะนำโรค เช่น หนู </t>
  </si>
  <si>
    <t>จัดสภาพแวดล้อมให้เป็นระเบียบ</t>
  </si>
  <si>
    <t>ฉี่หรือขี้หนู</t>
  </si>
  <si>
    <t>ตรวจสภาพแวดล้อม</t>
  </si>
  <si>
    <t>ซากหนูที่ตาย</t>
  </si>
  <si>
    <t xml:space="preserve">วางกรงกับดักหนู </t>
  </si>
  <si>
    <t>จัดทำโดย  นางจิรนันท์  เสนานาญ</t>
  </si>
  <si>
    <t xml:space="preserve"> ตรวจสอบโดย  ผู้ช่วยศาสตราจารย์ภานุวัฒน์  เมฆะ</t>
  </si>
  <si>
    <t>อนุมัติโดย  ผู้ช่วยศาสตราจารย์ ดร.ณัฐพล  เลาห์รอดพันธุ์</t>
  </si>
  <si>
    <t>วันที่  9 กรกฎาคม 2568</t>
  </si>
  <si>
    <t>วันที่ 9 กรกฎาคม 2568</t>
  </si>
  <si>
    <t>แบบฟอร์ม 1.3(2)</t>
  </si>
  <si>
    <t>ทะเบียนระบุและประเมินปัญหาสิ่งแวดล้อมด้านทรัพยากร (Input) ปี 2568</t>
  </si>
  <si>
    <t>กระบวนการ</t>
  </si>
  <si>
    <t>ปัญหาสิ่งแวดล้อม (Input)</t>
  </si>
  <si>
    <t>ประเภทผลกระทบ</t>
  </si>
  <si>
    <t>D</t>
  </si>
  <si>
    <t>I</t>
  </si>
  <si>
    <t>สภาวะ
N / A / E</t>
  </si>
  <si>
    <t>กฎหมาย</t>
  </si>
  <si>
    <t xml:space="preserve">โอกาสที่จะเกิด </t>
  </si>
  <si>
    <t>รวม
 L</t>
  </si>
  <si>
    <t>ความรุนแรง</t>
  </si>
  <si>
    <t>รวม C</t>
  </si>
  <si>
    <t>L x C</t>
  </si>
  <si>
    <t>ระดับนัยสำคัญ</t>
  </si>
  <si>
    <t>กระบวนการควบคุม/ป้องกัน</t>
  </si>
  <si>
    <t>EL</t>
  </si>
  <si>
    <t>W</t>
  </si>
  <si>
    <t>F/G</t>
  </si>
  <si>
    <t>RM</t>
  </si>
  <si>
    <t>Y</t>
  </si>
  <si>
    <t>N</t>
  </si>
  <si>
    <t>L1</t>
  </si>
  <si>
    <t>L2</t>
  </si>
  <si>
    <t>L3</t>
  </si>
  <si>
    <t>L4</t>
  </si>
  <si>
    <t>L5</t>
  </si>
  <si>
    <t>C1</t>
  </si>
  <si>
    <t>C2</t>
  </si>
  <si>
    <t>C3</t>
  </si>
  <si>
    <t>L</t>
  </si>
  <si>
    <t>M</t>
  </si>
  <si>
    <t>H</t>
  </si>
  <si>
    <t>ü</t>
  </si>
  <si>
    <t xml:space="preserve">หมวด 3 (3.3) </t>
  </si>
  <si>
    <t>หมวด 3 (3.3)</t>
  </si>
  <si>
    <t>หมวด 3 (3.2)</t>
  </si>
  <si>
    <t>1</t>
  </si>
  <si>
    <t>หมวด 3 (3.4)</t>
  </si>
  <si>
    <t>เครื่องคอมพิวเตอร์</t>
  </si>
  <si>
    <t>หมวด 3 (3.1)</t>
  </si>
  <si>
    <t>A</t>
  </si>
  <si>
    <t>หมวด 3 (3.3)
คู่มือความปลอดภัยในห้องปฏิบัติการ</t>
  </si>
  <si>
    <t>หมวด 5 (5.4)</t>
  </si>
  <si>
    <t>ประเมินปัญหาสิ่งแวดล้อมด้านมลพิษ [โอกาสในการเกิด พิจารณา ตั้งแต่ L1-L6 (ทางตรง) L1-L7 (ทางอ้อม)] , [ความรุนแรง พิจารณา ตั้งแต่ C1-C3]</t>
  </si>
  <si>
    <t>ปัญหาตามประเภทกิจกรรม</t>
  </si>
  <si>
    <t>ประเภททรัพยากร พลังาน วัตถุดิบ</t>
  </si>
  <si>
    <t>สภาวะการเกิดปัญหาสิ่งแวดล้อม</t>
  </si>
  <si>
    <t>D = ปัญหาสิ่งแวดล้อมทางตรง</t>
  </si>
  <si>
    <t xml:space="preserve">EL = Electric ไฟฟ้า                  </t>
  </si>
  <si>
    <t xml:space="preserve">F/G = Fuel / Gas เชื้อเพลิง          </t>
  </si>
  <si>
    <t>N = Normal สภาวะปกติ</t>
  </si>
  <si>
    <t>I = ปัญหาสิ่งแวดล้อมทางอ้อม</t>
  </si>
  <si>
    <t xml:space="preserve">W = Water น้ำ                </t>
  </si>
  <si>
    <t>RM = Raw material วัตถุดิบ</t>
  </si>
  <si>
    <t>A = Abnormal สภาวะผิดปกติ</t>
  </si>
  <si>
    <t>ตรวจสอบโดย  ผู้ช่วยศาสตราจารย์ภานุวัฒน์  เมฆะ</t>
  </si>
  <si>
    <r>
      <rPr>
        <b/>
        <sz val="14"/>
        <rFont val="TH Sarabun New"/>
        <family val="2"/>
      </rPr>
      <t xml:space="preserve">กฎหมาย </t>
    </r>
    <r>
      <rPr>
        <sz val="14"/>
        <rFont val="TH Sarabun New"/>
        <family val="2"/>
      </rPr>
      <t xml:space="preserve">       Y = มีกฎหมาย</t>
    </r>
  </si>
  <si>
    <t>N = ไม่มีกฎหมาย</t>
  </si>
  <si>
    <t>E = Emergency สภาวะฉุกเฉิน</t>
  </si>
  <si>
    <t>แบบฟอร์ม 1.3(3)</t>
  </si>
  <si>
    <t>ทะเบียนระบุและประเมินปัญหาสิ่งแวดล้อมด้านมลพิษ (Output )ปี 2567</t>
  </si>
  <si>
    <t>แบบฟอร์ม 1.3.(3)</t>
  </si>
  <si>
    <t xml:space="preserve">ทะเบียนระบุและประเมินปัญหาสิ่งแวดล้อมด้านมลพิษ (Output) ปี 2568  </t>
  </si>
  <si>
    <t>ปัญหาสิ่งแวดล้อม (Output)</t>
  </si>
  <si>
    <t>AP</t>
  </si>
  <si>
    <t>WP</t>
  </si>
  <si>
    <t>NP</t>
  </si>
  <si>
    <t>WA</t>
  </si>
  <si>
    <t>L6</t>
  </si>
  <si>
    <t>L7</t>
  </si>
  <si>
    <t>C4</t>
  </si>
  <si>
    <t>การพิมพ์เอกสาร 
(เครื่องปริ้นเตอร์,เครื่องคอมพิวเตอร์)</t>
  </si>
  <si>
    <t xml:space="preserve">หมวด 4 (4.1) </t>
  </si>
  <si>
    <t>หมวด 4 (4.1)</t>
  </si>
  <si>
    <t>หมวด 5 (5.1)</t>
  </si>
  <si>
    <t>หมวด 5 (5.3)</t>
  </si>
  <si>
    <t>หมวด 4 (4.2)</t>
  </si>
  <si>
    <t>การรับประทานอาหาร (ถังดักไขมัน)</t>
  </si>
  <si>
    <t>หมวด 4 (4.1) 
ดำเนินการตามมาตรการของมหาวิทยาลัยที่รวบรวมของเสียและสารเคมีเพื่อบำบัดประจำทุกปี</t>
  </si>
  <si>
    <t xml:space="preserve">หมวด 4 (4.2) 
</t>
  </si>
  <si>
    <t>หมวด 4 (4.2) 
รวบรวมน้ำเสียใส่ถังพักและนำไปรดน้ำต้นไม้</t>
  </si>
  <si>
    <t>การดูแลยานพาหนะ 
(รถยนต์ รถจักรยานยนต์)</t>
  </si>
  <si>
    <t>หมวด 5 (5.4) ทุกหน่วยงานดำเนินการดักหนูและนำไปปล่อย</t>
  </si>
  <si>
    <t>หมวด 5 (5.4) 
ทุกหน่วยงานดำเนินการดักหนูและนำไปปล่อย</t>
  </si>
  <si>
    <t>ประเมินปัญหาสิ่งแวดล้อมด้านมลพิษ [โอกาสในการเกิด พิจารณา ตั้งแต่ L1-L6 (ทางตรง) L1-L7 (ทางอ้อม)] , [ความรุนแรง พิจารณา ตั้งแต่ C1-C4]</t>
  </si>
  <si>
    <t>ประเภทมลพิษ</t>
  </si>
  <si>
    <t xml:space="preserve">AP = Air Pollution มลพิษอากาศ                        </t>
  </si>
  <si>
    <t>NP = Noise Pollution มลพิษเสียง</t>
  </si>
  <si>
    <t xml:space="preserve">WP = Water Pollution มลพิษทางน้ำ                  </t>
  </si>
  <si>
    <t>WA- Waste ขยะ/ของเสีย</t>
  </si>
  <si>
    <r>
      <rPr>
        <b/>
        <sz val="14"/>
        <rFont val="TH Sarabun New"/>
        <family val="2"/>
      </rPr>
      <t xml:space="preserve">กฎหมาย  </t>
    </r>
    <r>
      <rPr>
        <sz val="14"/>
        <rFont val="TH Sarabun New"/>
        <family val="2"/>
      </rPr>
      <t xml:space="preserve">           Y = มีกฎหมาย</t>
    </r>
  </si>
  <si>
    <t xml:space="preserve">                 แบบฟอร์ม 1.3(4)</t>
  </si>
  <si>
    <t>ทะเบียนจัดลำดับปัญหาสิ่งแวดล้อมด้านทรัพยากรที่มีนัยสำคัญ</t>
  </si>
  <si>
    <t>ลำดับ</t>
  </si>
  <si>
    <t>กิจกรรม</t>
  </si>
  <si>
    <t>ทางตรง/ทางอ้อม</t>
  </si>
  <si>
    <t>สภาวะ</t>
  </si>
  <si>
    <t>ปัญหาสิ่งแวดล้อม</t>
  </si>
  <si>
    <t>คะแนน</t>
  </si>
  <si>
    <t>กระบวนการควบคุม /ป้องกัน</t>
  </si>
  <si>
    <t>การพิมพ์เอกสาร (เครื่องปริ้นเตอร์, 
เครื่องคอมพิวเตอร์)</t>
  </si>
  <si>
    <t>ทางตรง</t>
  </si>
  <si>
    <t>ปกติ</t>
  </si>
  <si>
    <t>ทางอ้อม</t>
  </si>
  <si>
    <t>น้ำยาทำความสะอาด/
น้ำยาขัดพื้น ลงแว็กซ์</t>
  </si>
  <si>
    <t>ผิดปกติ</t>
  </si>
  <si>
    <t>สารเคมีและ
วัสดุวิทยาศาสตร์</t>
  </si>
  <si>
    <t>หมวด 3 (3.3)
 คู่มือความปลอดภัยในห้องปฏิบัติการ</t>
  </si>
  <si>
    <t xml:space="preserve">หมวด 5 (5.4)
</t>
  </si>
  <si>
    <t xml:space="preserve">จัดทำโดย  นางจิรนันท์  เสนานาญ                          ตรวจสอบโดย  ผู้ช่วยศาสตราจารย์ภานุวัฒน์  เมฆะ                                  อนุมัติโดย  ผู้ช่วยศาสตราจารย์ ดร.ณัฐพล  เลาห์รอดพันธุ์ </t>
  </si>
  <si>
    <t xml:space="preserve">              วันที่ 9 กรกฏาคม 2568                                                      วันที่ 9 กรกฏาคม 2568                                                                         วันที่ 9 กรกฎาคม 2568</t>
  </si>
  <si>
    <t>แบบฟอร์ม 1.3(4)</t>
  </si>
  <si>
    <t>ทะเบียนจัดลำดับปัญหาสิ่งแวดล้อมด้านมลพิษที่มีนัยสำคัญ</t>
  </si>
  <si>
    <t>สภาวะปกติ</t>
  </si>
  <si>
    <t>สภาวะผิดปกติ</t>
  </si>
  <si>
    <t xml:space="preserve">หมวด 4 (4.1) ดำเนินการตามวิธีการปฏิบัติงาน เรื่อง การจัดการของเสียของห้องปฏิบัติการ การจัดการมูลฝอยติดเชื้อจากห้องปฏิบัติการ มาตรการป้องกันการแพร่กระจายของเชื้อโรคในเหตุฉุกเฉิน และดำเนินการตามมาตรการของมหาวิทยาลัยที่รวบรวมของเสียและสารเคมีเพื่อบำบัดประจำทุกปี
</t>
  </si>
  <si>
    <t xml:space="preserve">หมวด 4 (4.2) ดำเนินการตามวิธีการปฏิบัติงาน เรื่อง คู่มือการจัดการของเสียของห้องปฏิบัติการ และมหาวิทยาลัยดำเนินการบำบัดน้ำเสีย
</t>
  </si>
  <si>
    <t>การดูแลยานพาหนะ(รถยนต์ รถจัรยานยนต์)</t>
  </si>
  <si>
    <t xml:space="preserve">จัดทำโดย  นางจิรนันท์  เสนานาญ                     ตรวจสอบโดย  ผู้ช่วยศาสตราจารย์ภานุวัฒน์  เมฆะ                   อนุมัติโดย  ผู้ช่วยศาสตราจารย์ ดร.ณัฐพล  เลาห์รอดพันธุ์ </t>
  </si>
  <si>
    <t xml:space="preserve">             วันที่ 9 กรกฏาคม 2568                                               วันที่ 9 กรกฏาคม 2568                                                   วันที่ 9 กรกฎาคม 2568</t>
  </si>
  <si>
    <t>การดูแลภายในอาคาร(สัตว์พาหะนำโรค เช่น หนู)</t>
  </si>
  <si>
    <t>หมวด 5 (5.4) ดำเนินโครงการลดปัญหาหนูในพื้นที่ทำงาน เพื่อสิ่งแวดล้อมปลอดภัยตามแนวทาง Green Office</t>
  </si>
  <si>
    <t xml:space="preserve">การดูแลภายในอาคาร(สัตว์พาหะนำโรค เช่น หนู) </t>
  </si>
  <si>
    <t xml:space="preserve">หมวด 5 (5.4) ดำเนินโครงการลดปัญหาหนูในพื้นที่ทำงาน เพื่อสิ่งแวดล้อมปลอดภัยตามแนวทาง Green Office
</t>
  </si>
  <si>
    <t>หมวด 4 (4.1) ดำเนินการรวบรวมกระดาษที่เสีย เพื่อนำไปใช้ประโยชน์ในห้องปฏิบัติการ</t>
  </si>
  <si>
    <t>หมวด 5 (5.1) ดำเนินการออกมาตรการ โดยให้ติดแผ่นหน้ากากอนามัยชนิดป้องกันคาร์บอน เพื่อป้องกันฝุ่นผงจากเครื่องพิมพ์และบำรุงรักษาทำความสะอาดเป็นประจำทุกเดือนพร้อมเปลี่ยนแผ่นหน้ากากอนามัยชนิดป้องกันคาร์บอน เป็นประจำทุก 6 เดือน</t>
  </si>
  <si>
    <t xml:space="preserve">             วันที่ 9 กรกฏาคม 2568                                               วันที่ 9 กรกฏาคม 2568                                                    วันที่ 9 กรกฎาคม 2568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</si>
</sst>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>
    <font>
      <sz val="10"/>
      <name val="Arial"/>
      <charset val="222"/>
    </font>
    <font>
      <sz val="11"/>
      <color theme="1"/>
      <name val="Tahoma"/>
      <family val="2"/>
      <charset val="222"/>
      <scheme val="minor"/>
    </font>
    <font>
      <sz val="8"/>
      <name val="Arial"/>
      <family val="2"/>
    </font>
    <font>
      <sz val="14"/>
      <name val="Cordia New"/>
      <family val="2"/>
    </font>
    <font>
      <sz val="10"/>
      <name val="Arial"/>
      <family val="2"/>
    </font>
    <font>
      <sz val="11"/>
      <color indexed="8"/>
      <name val="Tahoma"/>
      <family val="2"/>
      <charset val="222"/>
    </font>
    <font>
      <sz val="11"/>
      <color theme="1"/>
      <name val="Tahoma"/>
      <family val="2"/>
      <scheme val="minor"/>
    </font>
    <font>
      <b/>
      <sz val="16"/>
      <color rgb="FF0000FF"/>
      <name val="Wingdings"/>
      <charset val="2"/>
    </font>
    <font>
      <sz val="16"/>
      <color theme="1"/>
      <name val="TH Sarabun New"/>
      <family val="2"/>
    </font>
    <font>
      <b/>
      <sz val="16"/>
      <color indexed="8"/>
      <name val="TH Sarabun New"/>
      <family val="2"/>
    </font>
    <font>
      <b/>
      <sz val="16"/>
      <name val="TH Sarabun New"/>
      <family val="2"/>
    </font>
    <font>
      <b/>
      <sz val="14"/>
      <name val="TH Sarabun New"/>
      <family val="2"/>
    </font>
    <font>
      <sz val="14"/>
      <name val="TH Sarabun New"/>
      <family val="2"/>
    </font>
    <font>
      <sz val="16"/>
      <name val="TH Sarabun New"/>
      <family val="2"/>
    </font>
    <font>
      <sz val="16"/>
      <color indexed="8"/>
      <name val="TH Sarabun New"/>
      <family val="2"/>
    </font>
    <font>
      <b/>
      <sz val="12"/>
      <name val="TH Sarabun New"/>
      <family val="2"/>
    </font>
    <font>
      <b/>
      <sz val="14"/>
      <color rgb="FFFF0000"/>
      <name val="TH Sarabun New"/>
      <family val="2"/>
    </font>
    <font>
      <sz val="14"/>
      <color rgb="FF000000"/>
      <name val="TH Sarabun New"/>
      <family val="2"/>
    </font>
    <font>
      <sz val="14"/>
      <color rgb="FFFF0000"/>
      <name val="TH Sarabun New"/>
      <family val="2"/>
    </font>
    <font>
      <sz val="16"/>
      <color rgb="FFFF0000"/>
      <name val="TH Sarabun New"/>
      <family val="2"/>
    </font>
    <font>
      <sz val="12"/>
      <color rgb="FFFF0000"/>
      <name val="TH Sarabun New"/>
      <family val="2"/>
    </font>
    <font>
      <sz val="13"/>
      <name val="TH Sarabun New"/>
      <family val="2"/>
    </font>
    <font>
      <sz val="10"/>
      <name val="TH Sarabun New"/>
      <family val="2"/>
    </font>
    <font>
      <b/>
      <sz val="16"/>
      <color indexed="12"/>
      <name val="TH Sarabun New"/>
      <family val="2"/>
    </font>
    <font>
      <b/>
      <sz val="16"/>
      <color rgb="FF0000FF"/>
      <name val="TH Sarabun New"/>
      <family val="2"/>
    </font>
    <font>
      <sz val="12"/>
      <name val="TH Sarabun New"/>
      <family val="2"/>
    </font>
    <font>
      <b/>
      <sz val="16"/>
      <color indexed="10"/>
      <name val="TH Sarabun New"/>
      <family val="2"/>
    </font>
    <font>
      <b/>
      <sz val="16"/>
      <color indexed="14"/>
      <name val="TH Sarabun New"/>
      <family val="2"/>
    </font>
    <font>
      <sz val="16"/>
      <color indexed="12"/>
      <name val="TH Sarabun New"/>
      <family val="2"/>
    </font>
    <font>
      <sz val="16"/>
      <color rgb="FF0000FF"/>
      <name val="TH Sarabun New"/>
      <family val="2"/>
    </font>
    <font>
      <sz val="16"/>
      <color indexed="61"/>
      <name val="TH Sarabun New"/>
      <family val="2"/>
    </font>
    <font>
      <sz val="14"/>
      <color theme="1"/>
      <name val="TH Sarabun New"/>
      <family val="2"/>
    </font>
    <font>
      <sz val="16"/>
      <color rgb="FF000000"/>
      <name val="TH Sarabun New"/>
      <family val="2"/>
    </font>
    <font>
      <sz val="8"/>
      <name val="Arial"/>
      <charset val="22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9">
    <xf numFmtId="0" fontId="0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5" fillId="0" borderId="0"/>
    <xf numFmtId="0" fontId="6" fillId="0" borderId="0"/>
  </cellStyleXfs>
  <cellXfs count="418">
    <xf numFmtId="0" fontId="0" fillId="0" borderId="0" xfId="0"/>
    <xf numFmtId="0" fontId="7" fillId="4" borderId="1" xfId="0" applyFont="1" applyFill="1" applyBorder="1" applyAlignment="1">
      <alignment horizontal="center" vertical="top"/>
    </xf>
    <xf numFmtId="0" fontId="8" fillId="3" borderId="0" xfId="6" applyFont="1" applyFill="1"/>
    <xf numFmtId="0" fontId="9" fillId="3" borderId="0" xfId="6" applyFont="1" applyFill="1" applyAlignment="1">
      <alignment horizontal="right"/>
    </xf>
    <xf numFmtId="0" fontId="9" fillId="3" borderId="0" xfId="6" applyFont="1" applyFill="1" applyAlignment="1">
      <alignment horizontal="center"/>
    </xf>
    <xf numFmtId="0" fontId="9" fillId="3" borderId="1" xfId="6" applyFont="1" applyFill="1" applyBorder="1" applyAlignment="1">
      <alignment horizontal="center" vertical="center"/>
    </xf>
    <xf numFmtId="0" fontId="9" fillId="3" borderId="1" xfId="6" applyFont="1" applyFill="1" applyBorder="1" applyAlignment="1">
      <alignment horizontal="center"/>
    </xf>
    <xf numFmtId="0" fontId="9" fillId="3" borderId="0" xfId="6" applyFont="1" applyFill="1"/>
    <xf numFmtId="0" fontId="10" fillId="3" borderId="1" xfId="6" applyFont="1" applyFill="1" applyBorder="1" applyAlignment="1">
      <alignment horizontal="left" vertical="top"/>
    </xf>
    <xf numFmtId="0" fontId="11" fillId="3" borderId="1" xfId="0" applyFont="1" applyFill="1" applyBorder="1" applyAlignment="1">
      <alignment horizontal="center" vertical="top" wrapText="1"/>
    </xf>
    <xf numFmtId="0" fontId="12" fillId="2" borderId="1" xfId="0" applyFont="1" applyFill="1" applyBorder="1" applyAlignment="1">
      <alignment vertical="top"/>
    </xf>
    <xf numFmtId="0" fontId="10" fillId="3" borderId="1" xfId="6" applyFont="1" applyFill="1" applyBorder="1" applyAlignment="1">
      <alignment horizontal="center" vertical="top"/>
    </xf>
    <xf numFmtId="0" fontId="13" fillId="3" borderId="1" xfId="2" applyFont="1" applyFill="1" applyBorder="1" applyAlignment="1">
      <alignment vertical="top"/>
    </xf>
    <xf numFmtId="0" fontId="9" fillId="3" borderId="0" xfId="6" applyFont="1" applyFill="1" applyAlignment="1">
      <alignment vertical="top"/>
    </xf>
    <xf numFmtId="0" fontId="14" fillId="3" borderId="1" xfId="6" applyFont="1" applyFill="1" applyBorder="1" applyAlignment="1">
      <alignment horizontal="center"/>
    </xf>
    <xf numFmtId="0" fontId="12" fillId="2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 wrapText="1"/>
    </xf>
    <xf numFmtId="0" fontId="12" fillId="2" borderId="1" xfId="0" applyFont="1" applyFill="1" applyBorder="1"/>
    <xf numFmtId="0" fontId="14" fillId="3" borderId="1" xfId="7" applyFont="1" applyFill="1" applyBorder="1" applyAlignment="1">
      <alignment horizontal="center"/>
    </xf>
    <xf numFmtId="0" fontId="14" fillId="3" borderId="0" xfId="6" applyFont="1" applyFill="1"/>
    <xf numFmtId="0" fontId="12" fillId="3" borderId="1" xfId="0" applyFont="1" applyFill="1" applyBorder="1" applyAlignment="1">
      <alignment horizontal="center"/>
    </xf>
    <xf numFmtId="0" fontId="12" fillId="2" borderId="1" xfId="0" quotePrefix="1" applyFont="1" applyFill="1" applyBorder="1"/>
    <xf numFmtId="0" fontId="10" fillId="3" borderId="1" xfId="1" applyFont="1" applyFill="1" applyBorder="1"/>
    <xf numFmtId="0" fontId="11" fillId="2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/>
    </xf>
    <xf numFmtId="0" fontId="10" fillId="3" borderId="1" xfId="1" applyFont="1" applyFill="1" applyBorder="1" applyAlignment="1">
      <alignment horizontal="center" vertical="top"/>
    </xf>
    <xf numFmtId="0" fontId="10" fillId="3" borderId="1" xfId="1" applyFont="1" applyFill="1" applyBorder="1" applyAlignment="1">
      <alignment vertical="top"/>
    </xf>
    <xf numFmtId="0" fontId="12" fillId="2" borderId="1" xfId="0" applyFont="1" applyFill="1" applyBorder="1" applyAlignment="1">
      <alignment vertical="top" wrapText="1"/>
    </xf>
    <xf numFmtId="0" fontId="10" fillId="3" borderId="1" xfId="1" applyFont="1" applyFill="1" applyBorder="1" applyAlignment="1">
      <alignment horizontal="center"/>
    </xf>
    <xf numFmtId="0" fontId="12" fillId="3" borderId="1" xfId="1" applyFont="1" applyFill="1" applyBorder="1"/>
    <xf numFmtId="0" fontId="13" fillId="3" borderId="1" xfId="2" applyFont="1" applyFill="1" applyBorder="1" applyAlignment="1">
      <alignment vertical="top" wrapText="1"/>
    </xf>
    <xf numFmtId="0" fontId="12" fillId="2" borderId="1" xfId="0" applyFont="1" applyFill="1" applyBorder="1" applyAlignment="1">
      <alignment wrapText="1"/>
    </xf>
    <xf numFmtId="0" fontId="12" fillId="2" borderId="1" xfId="0" applyFont="1" applyFill="1" applyBorder="1" applyAlignment="1">
      <alignment horizontal="left"/>
    </xf>
    <xf numFmtId="0" fontId="11" fillId="3" borderId="1" xfId="1" applyFont="1" applyFill="1" applyBorder="1" applyAlignment="1">
      <alignment horizontal="center" vertical="center"/>
    </xf>
    <xf numFmtId="0" fontId="13" fillId="2" borderId="1" xfId="1" applyFont="1" applyFill="1" applyBorder="1"/>
    <xf numFmtId="0" fontId="8" fillId="0" borderId="1" xfId="0" applyFont="1" applyBorder="1" applyAlignment="1">
      <alignment horizontal="left" vertical="top" wrapText="1"/>
    </xf>
    <xf numFmtId="0" fontId="13" fillId="3" borderId="1" xfId="1" applyFont="1" applyFill="1" applyBorder="1" applyAlignment="1">
      <alignment horizontal="center"/>
    </xf>
    <xf numFmtId="0" fontId="8" fillId="0" borderId="1" xfId="0" applyFont="1" applyBorder="1" applyAlignment="1">
      <alignment horizontal="center" vertical="top" wrapText="1"/>
    </xf>
    <xf numFmtId="0" fontId="12" fillId="2" borderId="1" xfId="1" applyFont="1" applyFill="1" applyBorder="1"/>
    <xf numFmtId="0" fontId="13" fillId="3" borderId="1" xfId="7" applyFont="1" applyFill="1" applyBorder="1" applyAlignment="1">
      <alignment horizontal="center" vertical="top"/>
    </xf>
    <xf numFmtId="0" fontId="8" fillId="3" borderId="1" xfId="6" applyFont="1" applyFill="1" applyBorder="1" applyAlignment="1">
      <alignment horizontal="center"/>
    </xf>
    <xf numFmtId="0" fontId="8" fillId="3" borderId="1" xfId="6" applyFont="1" applyFill="1" applyBorder="1"/>
    <xf numFmtId="0" fontId="8" fillId="3" borderId="0" xfId="6" applyFont="1" applyFill="1" applyAlignment="1">
      <alignment horizontal="center"/>
    </xf>
    <xf numFmtId="0" fontId="12" fillId="3" borderId="0" xfId="7" quotePrefix="1" applyFont="1" applyFill="1"/>
    <xf numFmtId="0" fontId="12" fillId="3" borderId="0" xfId="8" applyFont="1" applyFill="1"/>
    <xf numFmtId="0" fontId="12" fillId="3" borderId="0" xfId="6" applyFont="1" applyFill="1" applyAlignment="1">
      <alignment horizontal="center"/>
    </xf>
    <xf numFmtId="0" fontId="12" fillId="2" borderId="0" xfId="0" applyFont="1" applyFill="1"/>
    <xf numFmtId="0" fontId="12" fillId="2" borderId="0" xfId="0" applyFont="1" applyFill="1" applyAlignment="1">
      <alignment horizontal="right"/>
    </xf>
    <xf numFmtId="0" fontId="11" fillId="2" borderId="0" xfId="0" applyFont="1" applyFill="1" applyAlignment="1">
      <alignment horizontal="center"/>
    </xf>
    <xf numFmtId="0" fontId="16" fillId="2" borderId="1" xfId="0" applyFont="1" applyFill="1" applyBorder="1"/>
    <xf numFmtId="0" fontId="12" fillId="2" borderId="1" xfId="0" applyFont="1" applyFill="1" applyBorder="1" applyAlignment="1">
      <alignment horizontal="center" vertical="top"/>
    </xf>
    <xf numFmtId="0" fontId="12" fillId="3" borderId="1" xfId="0" applyFont="1" applyFill="1" applyBorder="1"/>
    <xf numFmtId="0" fontId="12" fillId="0" borderId="1" xfId="0" applyFont="1" applyBorder="1" applyAlignment="1">
      <alignment horizontal="center"/>
    </xf>
    <xf numFmtId="0" fontId="18" fillId="2" borderId="1" xfId="1" applyFont="1" applyFill="1" applyBorder="1"/>
    <xf numFmtId="0" fontId="20" fillId="3" borderId="1" xfId="0" applyFont="1" applyFill="1" applyBorder="1"/>
    <xf numFmtId="0" fontId="20" fillId="3" borderId="1" xfId="0" quotePrefix="1" applyFont="1" applyFill="1" applyBorder="1"/>
    <xf numFmtId="0" fontId="18" fillId="3" borderId="1" xfId="0" applyFont="1" applyFill="1" applyBorder="1"/>
    <xf numFmtId="0" fontId="21" fillId="2" borderId="0" xfId="0" applyFont="1" applyFill="1"/>
    <xf numFmtId="0" fontId="12" fillId="3" borderId="0" xfId="0" quotePrefix="1" applyFont="1" applyFill="1" applyAlignment="1">
      <alignment horizontal="center"/>
    </xf>
    <xf numFmtId="0" fontId="12" fillId="3" borderId="0" xfId="1" applyFont="1" applyFill="1" applyAlignment="1">
      <alignment horizontal="center"/>
    </xf>
    <xf numFmtId="0" fontId="10" fillId="3" borderId="0" xfId="1" applyFont="1" applyFill="1"/>
    <xf numFmtId="0" fontId="13" fillId="3" borderId="0" xfId="2" applyFont="1" applyFill="1"/>
    <xf numFmtId="0" fontId="13" fillId="3" borderId="0" xfId="2" applyFont="1" applyFill="1" applyAlignment="1">
      <alignment horizontal="right"/>
    </xf>
    <xf numFmtId="0" fontId="11" fillId="2" borderId="1" xfId="2" applyFont="1" applyFill="1" applyBorder="1" applyAlignment="1">
      <alignment horizontal="center"/>
    </xf>
    <xf numFmtId="0" fontId="11" fillId="2" borderId="1" xfId="2" applyFont="1" applyFill="1" applyBorder="1" applyAlignment="1">
      <alignment horizontal="center" vertical="center"/>
    </xf>
    <xf numFmtId="0" fontId="11" fillId="2" borderId="1" xfId="2" applyFont="1" applyFill="1" applyBorder="1"/>
    <xf numFmtId="0" fontId="11" fillId="3" borderId="1" xfId="2" applyFont="1" applyFill="1" applyBorder="1" applyAlignment="1">
      <alignment horizontal="center" vertical="center"/>
    </xf>
    <xf numFmtId="0" fontId="11" fillId="3" borderId="1" xfId="1" applyFont="1" applyFill="1" applyBorder="1" applyAlignment="1">
      <alignment horizontal="center"/>
    </xf>
    <xf numFmtId="0" fontId="11" fillId="3" borderId="1" xfId="2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 vertical="top" wrapText="1"/>
    </xf>
    <xf numFmtId="0" fontId="12" fillId="2" borderId="1" xfId="0" applyFont="1" applyFill="1" applyBorder="1" applyAlignment="1">
      <alignment horizontal="left" vertical="top"/>
    </xf>
    <xf numFmtId="0" fontId="23" fillId="3" borderId="1" xfId="1" applyFont="1" applyFill="1" applyBorder="1" applyAlignment="1">
      <alignment horizontal="center" vertical="top"/>
    </xf>
    <xf numFmtId="0" fontId="13" fillId="3" borderId="1" xfId="1" applyFont="1" applyFill="1" applyBorder="1" applyAlignment="1">
      <alignment horizontal="center" vertical="top"/>
    </xf>
    <xf numFmtId="0" fontId="14" fillId="3" borderId="1" xfId="1" applyFont="1" applyFill="1" applyBorder="1" applyAlignment="1">
      <alignment horizontal="center" vertical="top"/>
    </xf>
    <xf numFmtId="0" fontId="13" fillId="3" borderId="1" xfId="3" applyFont="1" applyFill="1" applyBorder="1" applyAlignment="1">
      <alignment horizontal="center" vertical="top"/>
    </xf>
    <xf numFmtId="0" fontId="13" fillId="3" borderId="1" xfId="2" applyFont="1" applyFill="1" applyBorder="1" applyAlignment="1">
      <alignment horizontal="center" vertical="top"/>
    </xf>
    <xf numFmtId="0" fontId="24" fillId="4" borderId="1" xfId="0" applyFont="1" applyFill="1" applyBorder="1" applyAlignment="1">
      <alignment horizontal="center" vertical="top"/>
    </xf>
    <xf numFmtId="0" fontId="12" fillId="3" borderId="1" xfId="0" applyFont="1" applyFill="1" applyBorder="1" applyAlignment="1">
      <alignment horizontal="center" vertical="top"/>
    </xf>
    <xf numFmtId="0" fontId="25" fillId="3" borderId="1" xfId="0" applyFont="1" applyFill="1" applyBorder="1" applyAlignment="1">
      <alignment horizontal="center" vertical="top"/>
    </xf>
    <xf numFmtId="0" fontId="12" fillId="2" borderId="1" xfId="0" quotePrefix="1" applyFont="1" applyFill="1" applyBorder="1" applyAlignment="1">
      <alignment horizontal="left" vertical="top"/>
    </xf>
    <xf numFmtId="0" fontId="13" fillId="3" borderId="1" xfId="1" applyFont="1" applyFill="1" applyBorder="1" applyAlignment="1">
      <alignment vertical="top"/>
    </xf>
    <xf numFmtId="0" fontId="9" fillId="3" borderId="1" xfId="1" applyFont="1" applyFill="1" applyBorder="1" applyAlignment="1">
      <alignment horizontal="center" vertical="top"/>
    </xf>
    <xf numFmtId="49" fontId="10" fillId="3" borderId="1" xfId="1" applyNumberFormat="1" applyFont="1" applyFill="1" applyBorder="1" applyAlignment="1">
      <alignment horizontal="center" vertical="top"/>
    </xf>
    <xf numFmtId="0" fontId="26" fillId="3" borderId="1" xfId="1" applyFont="1" applyFill="1" applyBorder="1" applyAlignment="1">
      <alignment horizontal="center" vertical="top"/>
    </xf>
    <xf numFmtId="0" fontId="12" fillId="2" borderId="1" xfId="0" applyFont="1" applyFill="1" applyBorder="1" applyAlignment="1">
      <alignment horizontal="left" vertical="top" wrapText="1"/>
    </xf>
    <xf numFmtId="0" fontId="13" fillId="3" borderId="0" xfId="2" applyFont="1" applyFill="1" applyAlignment="1">
      <alignment horizontal="center" vertical="top"/>
    </xf>
    <xf numFmtId="0" fontId="13" fillId="3" borderId="0" xfId="2" applyFont="1" applyFill="1" applyAlignment="1">
      <alignment vertical="top"/>
    </xf>
    <xf numFmtId="0" fontId="12" fillId="3" borderId="1" xfId="1" applyFont="1" applyFill="1" applyBorder="1" applyAlignment="1">
      <alignment horizontal="left" vertical="top"/>
    </xf>
    <xf numFmtId="0" fontId="27" fillId="3" borderId="1" xfId="1" applyFont="1" applyFill="1" applyBorder="1" applyAlignment="1">
      <alignment horizontal="center" vertical="top"/>
    </xf>
    <xf numFmtId="0" fontId="10" fillId="3" borderId="1" xfId="2" applyFont="1" applyFill="1" applyBorder="1" applyAlignment="1">
      <alignment vertical="top"/>
    </xf>
    <xf numFmtId="0" fontId="10" fillId="4" borderId="1" xfId="0" applyFont="1" applyFill="1" applyBorder="1" applyAlignment="1">
      <alignment horizontal="center" vertical="top"/>
    </xf>
    <xf numFmtId="0" fontId="18" fillId="2" borderId="1" xfId="0" applyFont="1" applyFill="1" applyBorder="1" applyAlignment="1">
      <alignment horizontal="center" vertical="top" wrapText="1"/>
    </xf>
    <xf numFmtId="0" fontId="12" fillId="3" borderId="1" xfId="1" applyFont="1" applyFill="1" applyBorder="1" applyAlignment="1">
      <alignment horizontal="center" vertical="top"/>
    </xf>
    <xf numFmtId="0" fontId="12" fillId="3" borderId="1" xfId="1" applyFont="1" applyFill="1" applyBorder="1" applyAlignment="1">
      <alignment vertical="top"/>
    </xf>
    <xf numFmtId="0" fontId="8" fillId="3" borderId="1" xfId="1" applyFont="1" applyFill="1" applyBorder="1" applyAlignment="1">
      <alignment horizontal="center" vertical="top"/>
    </xf>
    <xf numFmtId="0" fontId="8" fillId="0" borderId="1" xfId="3" applyFont="1" applyBorder="1" applyAlignment="1">
      <alignment horizontal="center" vertical="top"/>
    </xf>
    <xf numFmtId="0" fontId="8" fillId="0" borderId="1" xfId="2" applyFont="1" applyBorder="1" applyAlignment="1">
      <alignment horizontal="center" vertical="top"/>
    </xf>
    <xf numFmtId="0" fontId="8" fillId="3" borderId="1" xfId="2" applyFont="1" applyFill="1" applyBorder="1" applyAlignment="1">
      <alignment horizontal="center" vertical="top"/>
    </xf>
    <xf numFmtId="0" fontId="12" fillId="3" borderId="1" xfId="0" applyFont="1" applyFill="1" applyBorder="1" applyAlignment="1">
      <alignment horizontal="left" vertical="top"/>
    </xf>
    <xf numFmtId="0" fontId="13" fillId="2" borderId="1" xfId="1" applyFont="1" applyFill="1" applyBorder="1" applyAlignment="1">
      <alignment vertical="top"/>
    </xf>
    <xf numFmtId="0" fontId="8" fillId="0" borderId="1" xfId="0" applyFont="1" applyBorder="1" applyAlignment="1">
      <alignment horizontal="center" vertical="top"/>
    </xf>
    <xf numFmtId="0" fontId="8" fillId="0" borderId="1" xfId="1" applyFont="1" applyBorder="1" applyAlignment="1">
      <alignment horizontal="center" vertical="top"/>
    </xf>
    <xf numFmtId="0" fontId="22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12" fillId="2" borderId="1" xfId="1" applyFont="1" applyFill="1" applyBorder="1" applyAlignment="1">
      <alignment vertical="top"/>
    </xf>
    <xf numFmtId="0" fontId="12" fillId="3" borderId="1" xfId="3" applyFont="1" applyFill="1" applyBorder="1" applyAlignment="1">
      <alignment horizontal="center" vertical="top"/>
    </xf>
    <xf numFmtId="0" fontId="18" fillId="3" borderId="1" xfId="3" applyFont="1" applyFill="1" applyBorder="1" applyAlignment="1">
      <alignment horizontal="center" vertical="top"/>
    </xf>
    <xf numFmtId="0" fontId="12" fillId="3" borderId="1" xfId="2" applyFont="1" applyFill="1" applyBorder="1" applyAlignment="1">
      <alignment vertical="top"/>
    </xf>
    <xf numFmtId="0" fontId="12" fillId="3" borderId="1" xfId="2" applyFont="1" applyFill="1" applyBorder="1" applyAlignment="1">
      <alignment horizontal="center" vertical="top"/>
    </xf>
    <xf numFmtId="0" fontId="11" fillId="4" borderId="1" xfId="0" applyFont="1" applyFill="1" applyBorder="1" applyAlignment="1">
      <alignment horizontal="center" vertical="top"/>
    </xf>
    <xf numFmtId="0" fontId="25" fillId="2" borderId="1" xfId="0" applyFont="1" applyFill="1" applyBorder="1" applyAlignment="1">
      <alignment vertical="top"/>
    </xf>
    <xf numFmtId="0" fontId="25" fillId="2" borderId="1" xfId="0" quotePrefix="1" applyFont="1" applyFill="1" applyBorder="1" applyAlignment="1">
      <alignment vertical="top"/>
    </xf>
    <xf numFmtId="0" fontId="24" fillId="4" borderId="1" xfId="0" applyFont="1" applyFill="1" applyBorder="1" applyAlignment="1">
      <alignment horizontal="center"/>
    </xf>
    <xf numFmtId="0" fontId="13" fillId="3" borderId="1" xfId="3" applyFont="1" applyFill="1" applyBorder="1" applyAlignment="1">
      <alignment horizontal="center" vertical="center"/>
    </xf>
    <xf numFmtId="0" fontId="13" fillId="3" borderId="1" xfId="2" applyFont="1" applyFill="1" applyBorder="1" applyAlignment="1">
      <alignment horizontal="center"/>
    </xf>
    <xf numFmtId="0" fontId="13" fillId="3" borderId="1" xfId="2" applyFont="1" applyFill="1" applyBorder="1"/>
    <xf numFmtId="0" fontId="10" fillId="3" borderId="1" xfId="2" applyFont="1" applyFill="1" applyBorder="1" applyAlignment="1">
      <alignment horizontal="center"/>
    </xf>
    <xf numFmtId="0" fontId="26" fillId="3" borderId="1" xfId="1" applyFont="1" applyFill="1" applyBorder="1" applyAlignment="1">
      <alignment horizontal="center"/>
    </xf>
    <xf numFmtId="0" fontId="9" fillId="3" borderId="1" xfId="1" applyFont="1" applyFill="1" applyBorder="1" applyAlignment="1">
      <alignment horizontal="center"/>
    </xf>
    <xf numFmtId="0" fontId="13" fillId="3" borderId="1" xfId="1" applyFont="1" applyFill="1" applyBorder="1"/>
    <xf numFmtId="49" fontId="10" fillId="3" borderId="1" xfId="1" applyNumberFormat="1" applyFont="1" applyFill="1" applyBorder="1" applyAlignment="1">
      <alignment horizontal="center"/>
    </xf>
    <xf numFmtId="0" fontId="11" fillId="3" borderId="4" xfId="2" applyFont="1" applyFill="1" applyBorder="1"/>
    <xf numFmtId="0" fontId="11" fillId="3" borderId="5" xfId="2" applyFont="1" applyFill="1" applyBorder="1"/>
    <xf numFmtId="0" fontId="11" fillId="3" borderId="6" xfId="2" applyFont="1" applyFill="1" applyBorder="1"/>
    <xf numFmtId="0" fontId="11" fillId="3" borderId="0" xfId="2" applyFont="1" applyFill="1"/>
    <xf numFmtId="0" fontId="11" fillId="3" borderId="0" xfId="2" applyFont="1" applyFill="1" applyAlignment="1">
      <alignment vertical="top" wrapText="1"/>
    </xf>
    <xf numFmtId="0" fontId="11" fillId="3" borderId="0" xfId="2" applyFont="1" applyFill="1" applyAlignment="1">
      <alignment vertical="top"/>
    </xf>
    <xf numFmtId="0" fontId="12" fillId="3" borderId="0" xfId="1" applyFont="1" applyFill="1"/>
    <xf numFmtId="0" fontId="12" fillId="3" borderId="3" xfId="1" applyFont="1" applyFill="1" applyBorder="1"/>
    <xf numFmtId="0" fontId="12" fillId="3" borderId="7" xfId="1" applyFont="1" applyFill="1" applyBorder="1"/>
    <xf numFmtId="0" fontId="12" fillId="3" borderId="2" xfId="1" applyFont="1" applyFill="1" applyBorder="1"/>
    <xf numFmtId="0" fontId="10" fillId="3" borderId="2" xfId="1" applyFont="1" applyFill="1" applyBorder="1"/>
    <xf numFmtId="0" fontId="13" fillId="3" borderId="2" xfId="2" applyFont="1" applyFill="1" applyBorder="1"/>
    <xf numFmtId="0" fontId="13" fillId="3" borderId="9" xfId="2" applyFont="1" applyFill="1" applyBorder="1"/>
    <xf numFmtId="0" fontId="10" fillId="3" borderId="4" xfId="1" applyFont="1" applyFill="1" applyBorder="1"/>
    <xf numFmtId="0" fontId="12" fillId="3" borderId="6" xfId="1" applyFont="1" applyFill="1" applyBorder="1"/>
    <xf numFmtId="0" fontId="12" fillId="3" borderId="4" xfId="1" applyFont="1" applyFill="1" applyBorder="1"/>
    <xf numFmtId="0" fontId="12" fillId="3" borderId="5" xfId="1" applyFont="1" applyFill="1" applyBorder="1"/>
    <xf numFmtId="0" fontId="12" fillId="3" borderId="4" xfId="2" applyFont="1" applyFill="1" applyBorder="1"/>
    <xf numFmtId="0" fontId="12" fillId="3" borderId="5" xfId="2" applyFont="1" applyFill="1" applyBorder="1"/>
    <xf numFmtId="0" fontId="13" fillId="3" borderId="5" xfId="2" applyFont="1" applyFill="1" applyBorder="1"/>
    <xf numFmtId="0" fontId="12" fillId="3" borderId="6" xfId="2" applyFont="1" applyFill="1" applyBorder="1"/>
    <xf numFmtId="0" fontId="10" fillId="3" borderId="8" xfId="1" applyFont="1" applyFill="1" applyBorder="1"/>
    <xf numFmtId="0" fontId="12" fillId="3" borderId="0" xfId="2" applyFont="1" applyFill="1"/>
    <xf numFmtId="0" fontId="11" fillId="3" borderId="0" xfId="1" applyFont="1" applyFill="1"/>
    <xf numFmtId="0" fontId="10" fillId="0" borderId="0" xfId="1" applyFont="1"/>
    <xf numFmtId="0" fontId="13" fillId="0" borderId="0" xfId="2" applyFont="1"/>
    <xf numFmtId="0" fontId="13" fillId="0" borderId="0" xfId="2" applyFont="1" applyAlignment="1">
      <alignment horizontal="right"/>
    </xf>
    <xf numFmtId="0" fontId="10" fillId="0" borderId="0" xfId="1" applyFont="1" applyAlignment="1">
      <alignment horizontal="center"/>
    </xf>
    <xf numFmtId="0" fontId="11" fillId="0" borderId="1" xfId="1" applyFont="1" applyBorder="1" applyAlignment="1">
      <alignment horizontal="center" vertical="center" wrapText="1"/>
    </xf>
    <xf numFmtId="0" fontId="11" fillId="0" borderId="4" xfId="2" applyFont="1" applyBorder="1" applyAlignment="1">
      <alignment horizontal="center"/>
    </xf>
    <xf numFmtId="0" fontId="11" fillId="0" borderId="4" xfId="2" applyFont="1" applyBorder="1"/>
    <xf numFmtId="0" fontId="11" fillId="0" borderId="5" xfId="2" applyFont="1" applyBorder="1"/>
    <xf numFmtId="0" fontId="11" fillId="0" borderId="6" xfId="2" applyFont="1" applyBorder="1"/>
    <xf numFmtId="0" fontId="11" fillId="0" borderId="3" xfId="1" applyFont="1" applyBorder="1" applyAlignment="1">
      <alignment horizontal="center"/>
    </xf>
    <xf numFmtId="0" fontId="11" fillId="3" borderId="3" xfId="2" applyFont="1" applyFill="1" applyBorder="1" applyAlignment="1">
      <alignment horizontal="center"/>
    </xf>
    <xf numFmtId="0" fontId="11" fillId="3" borderId="3" xfId="2" applyFont="1" applyFill="1" applyBorder="1" applyAlignment="1">
      <alignment horizontal="center" vertical="center"/>
    </xf>
    <xf numFmtId="0" fontId="11" fillId="0" borderId="1" xfId="2" applyFont="1" applyBorder="1" applyAlignment="1">
      <alignment horizontal="center"/>
    </xf>
    <xf numFmtId="0" fontId="11" fillId="0" borderId="1" xfId="0" applyFont="1" applyBorder="1" applyAlignment="1">
      <alignment horizontal="center" vertical="top" wrapText="1"/>
    </xf>
    <xf numFmtId="0" fontId="12" fillId="0" borderId="1" xfId="0" applyFont="1" applyBorder="1" applyAlignment="1">
      <alignment vertical="top"/>
    </xf>
    <xf numFmtId="0" fontId="24" fillId="0" borderId="16" xfId="0" applyFont="1" applyBorder="1" applyAlignment="1">
      <alignment horizontal="center" vertical="top"/>
    </xf>
    <xf numFmtId="0" fontId="8" fillId="0" borderId="3" xfId="1" applyFont="1" applyBorder="1" applyAlignment="1">
      <alignment horizontal="center" vertical="top"/>
    </xf>
    <xf numFmtId="0" fontId="13" fillId="3" borderId="3" xfId="1" applyFont="1" applyFill="1" applyBorder="1" applyAlignment="1">
      <alignment horizontal="center" vertical="top"/>
    </xf>
    <xf numFmtId="0" fontId="13" fillId="0" borderId="1" xfId="1" applyFont="1" applyBorder="1" applyAlignment="1">
      <alignment horizontal="center" vertical="top"/>
    </xf>
    <xf numFmtId="0" fontId="10" fillId="0" borderId="1" xfId="1" applyFont="1" applyBorder="1" applyAlignment="1">
      <alignment horizontal="center" vertical="top"/>
    </xf>
    <xf numFmtId="0" fontId="13" fillId="0" borderId="1" xfId="3" applyFont="1" applyBorder="1" applyAlignment="1">
      <alignment horizontal="center" vertical="top"/>
    </xf>
    <xf numFmtId="1" fontId="13" fillId="0" borderId="1" xfId="1" applyNumberFormat="1" applyFont="1" applyBorder="1" applyAlignment="1">
      <alignment horizontal="center" vertical="top"/>
    </xf>
    <xf numFmtId="1" fontId="13" fillId="0" borderId="1" xfId="2" applyNumberFormat="1" applyFont="1" applyBorder="1" applyAlignment="1">
      <alignment horizontal="center" vertical="top"/>
    </xf>
    <xf numFmtId="0" fontId="24" fillId="0" borderId="16" xfId="0" applyFont="1" applyBorder="1" applyAlignment="1">
      <alignment horizontal="center"/>
    </xf>
    <xf numFmtId="0" fontId="12" fillId="0" borderId="1" xfId="2" applyFont="1" applyBorder="1" applyAlignment="1">
      <alignment vertical="top" wrapText="1"/>
    </xf>
    <xf numFmtId="0" fontId="12" fillId="0" borderId="1" xfId="0" quotePrefix="1" applyFont="1" applyBorder="1"/>
    <xf numFmtId="0" fontId="8" fillId="0" borderId="1" xfId="3" applyFont="1" applyBorder="1" applyAlignment="1">
      <alignment horizontal="center" vertical="center"/>
    </xf>
    <xf numFmtId="0" fontId="8" fillId="0" borderId="3" xfId="1" applyFont="1" applyBorder="1" applyAlignment="1">
      <alignment horizontal="center"/>
    </xf>
    <xf numFmtId="0" fontId="8" fillId="3" borderId="1" xfId="1" applyFont="1" applyFill="1" applyBorder="1" applyAlignment="1">
      <alignment horizontal="center"/>
    </xf>
    <xf numFmtId="0" fontId="13" fillId="0" borderId="1" xfId="3" applyFont="1" applyBorder="1" applyAlignment="1">
      <alignment horizontal="center" vertical="center"/>
    </xf>
    <xf numFmtId="0" fontId="13" fillId="0" borderId="1" xfId="1" applyFont="1" applyBorder="1" applyAlignment="1">
      <alignment horizontal="center"/>
    </xf>
    <xf numFmtId="1" fontId="13" fillId="0" borderId="1" xfId="1" applyNumberFormat="1" applyFont="1" applyBorder="1" applyAlignment="1">
      <alignment horizontal="center"/>
    </xf>
    <xf numFmtId="1" fontId="13" fillId="0" borderId="1" xfId="2" applyNumberFormat="1" applyFont="1" applyBorder="1" applyAlignment="1">
      <alignment horizontal="center"/>
    </xf>
    <xf numFmtId="0" fontId="8" fillId="0" borderId="1" xfId="2" applyFont="1" applyBorder="1" applyAlignment="1">
      <alignment horizontal="center"/>
    </xf>
    <xf numFmtId="0" fontId="13" fillId="0" borderId="1" xfId="2" applyFont="1" applyBorder="1"/>
    <xf numFmtId="0" fontId="12" fillId="0" borderId="1" xfId="2" applyFont="1" applyBorder="1" applyAlignment="1">
      <alignment vertical="top"/>
    </xf>
    <xf numFmtId="0" fontId="12" fillId="0" borderId="1" xfId="0" applyFont="1" applyBorder="1"/>
    <xf numFmtId="0" fontId="8" fillId="0" borderId="1" xfId="1" applyFont="1" applyBorder="1" applyAlignment="1">
      <alignment horizontal="center"/>
    </xf>
    <xf numFmtId="0" fontId="8" fillId="3" borderId="1" xfId="3" applyFont="1" applyFill="1" applyBorder="1" applyAlignment="1">
      <alignment horizontal="center" vertical="center"/>
    </xf>
    <xf numFmtId="0" fontId="10" fillId="0" borderId="1" xfId="1" applyFont="1" applyBorder="1"/>
    <xf numFmtId="0" fontId="8" fillId="0" borderId="3" xfId="3" applyFont="1" applyBorder="1" applyAlignment="1">
      <alignment horizontal="center" vertical="center"/>
    </xf>
    <xf numFmtId="0" fontId="13" fillId="0" borderId="1" xfId="2" applyFont="1" applyBorder="1" applyAlignment="1">
      <alignment horizontal="center"/>
    </xf>
    <xf numFmtId="0" fontId="13" fillId="0" borderId="10" xfId="1" applyFont="1" applyBorder="1" applyAlignment="1">
      <alignment horizontal="center"/>
    </xf>
    <xf numFmtId="0" fontId="8" fillId="0" borderId="10" xfId="2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24" fillId="0" borderId="1" xfId="0" applyFont="1" applyBorder="1" applyAlignment="1">
      <alignment horizontal="center"/>
    </xf>
    <xf numFmtId="0" fontId="23" fillId="0" borderId="3" xfId="1" applyFont="1" applyBorder="1" applyAlignment="1">
      <alignment horizontal="center"/>
    </xf>
    <xf numFmtId="0" fontId="24" fillId="0" borderId="18" xfId="0" applyFont="1" applyBorder="1" applyAlignment="1">
      <alignment horizontal="center"/>
    </xf>
    <xf numFmtId="0" fontId="23" fillId="0" borderId="1" xfId="1" applyFont="1" applyBorder="1" applyAlignment="1">
      <alignment horizontal="center"/>
    </xf>
    <xf numFmtId="0" fontId="8" fillId="0" borderId="10" xfId="2" applyFont="1" applyBorder="1" applyAlignment="1">
      <alignment horizontal="right"/>
    </xf>
    <xf numFmtId="0" fontId="19" fillId="0" borderId="1" xfId="2" applyFont="1" applyBorder="1"/>
    <xf numFmtId="0" fontId="8" fillId="0" borderId="10" xfId="2" applyFont="1" applyBorder="1" applyAlignment="1">
      <alignment horizontal="right" vertical="top"/>
    </xf>
    <xf numFmtId="0" fontId="8" fillId="0" borderId="10" xfId="2" applyFont="1" applyBorder="1" applyAlignment="1">
      <alignment horizontal="center" vertical="top"/>
    </xf>
    <xf numFmtId="0" fontId="12" fillId="0" borderId="1" xfId="0" applyFont="1" applyBorder="1" applyAlignment="1">
      <alignment wrapText="1"/>
    </xf>
    <xf numFmtId="0" fontId="13" fillId="0" borderId="1" xfId="2" applyFont="1" applyBorder="1" applyAlignment="1">
      <alignment vertical="top"/>
    </xf>
    <xf numFmtId="0" fontId="8" fillId="0" borderId="1" xfId="2" applyFont="1" applyBorder="1" applyAlignment="1">
      <alignment horizontal="right" vertical="top"/>
    </xf>
    <xf numFmtId="0" fontId="24" fillId="0" borderId="17" xfId="0" applyFont="1" applyBorder="1" applyAlignment="1">
      <alignment horizontal="center"/>
    </xf>
    <xf numFmtId="0" fontId="8" fillId="3" borderId="3" xfId="1" applyFont="1" applyFill="1" applyBorder="1" applyAlignment="1">
      <alignment horizontal="center"/>
    </xf>
    <xf numFmtId="0" fontId="12" fillId="0" borderId="1" xfId="1" applyFont="1" applyBorder="1"/>
    <xf numFmtId="0" fontId="12" fillId="0" borderId="1" xfId="1" applyFont="1" applyBorder="1" applyAlignment="1">
      <alignment wrapText="1"/>
    </xf>
    <xf numFmtId="0" fontId="24" fillId="0" borderId="0" xfId="0" applyFont="1" applyAlignment="1">
      <alignment horizontal="center"/>
    </xf>
    <xf numFmtId="0" fontId="11" fillId="0" borderId="1" xfId="0" applyFont="1" applyBorder="1" applyAlignment="1">
      <alignment vertical="top" wrapText="1"/>
    </xf>
    <xf numFmtId="0" fontId="29" fillId="0" borderId="16" xfId="0" applyFont="1" applyBorder="1" applyAlignment="1">
      <alignment horizontal="center" vertical="top"/>
    </xf>
    <xf numFmtId="0" fontId="13" fillId="0" borderId="1" xfId="2" applyFont="1" applyBorder="1" applyAlignment="1">
      <alignment horizontal="center" vertical="top"/>
    </xf>
    <xf numFmtId="0" fontId="13" fillId="0" borderId="16" xfId="0" applyFont="1" applyBorder="1" applyAlignment="1">
      <alignment horizontal="center"/>
    </xf>
    <xf numFmtId="0" fontId="12" fillId="0" borderId="1" xfId="2" applyFont="1" applyBorder="1" applyAlignment="1">
      <alignment wrapText="1"/>
    </xf>
    <xf numFmtId="0" fontId="13" fillId="0" borderId="1" xfId="0" applyFont="1" applyBorder="1" applyAlignment="1">
      <alignment vertical="top"/>
    </xf>
    <xf numFmtId="0" fontId="12" fillId="0" borderId="1" xfId="0" quotePrefix="1" applyFont="1" applyBorder="1" applyAlignment="1">
      <alignment vertical="top"/>
    </xf>
    <xf numFmtId="0" fontId="29" fillId="0" borderId="16" xfId="0" applyFont="1" applyBorder="1" applyAlignment="1">
      <alignment horizontal="center"/>
    </xf>
    <xf numFmtId="0" fontId="12" fillId="0" borderId="1" xfId="0" applyFont="1" applyBorder="1" applyAlignment="1">
      <alignment vertical="top" wrapText="1"/>
    </xf>
    <xf numFmtId="0" fontId="10" fillId="0" borderId="1" xfId="2" applyFont="1" applyBorder="1" applyAlignment="1">
      <alignment horizontal="center"/>
    </xf>
    <xf numFmtId="0" fontId="23" fillId="0" borderId="1" xfId="1" applyFont="1" applyBorder="1" applyAlignment="1">
      <alignment horizontal="center" vertical="top"/>
    </xf>
    <xf numFmtId="0" fontId="24" fillId="0" borderId="18" xfId="0" applyFont="1" applyBorder="1" applyAlignment="1">
      <alignment horizontal="center" vertical="top"/>
    </xf>
    <xf numFmtId="0" fontId="8" fillId="3" borderId="1" xfId="3" applyFont="1" applyFill="1" applyBorder="1" applyAlignment="1">
      <alignment horizontal="center" vertical="top"/>
    </xf>
    <xf numFmtId="0" fontId="14" fillId="0" borderId="1" xfId="1" applyFont="1" applyBorder="1" applyAlignment="1">
      <alignment horizontal="center"/>
    </xf>
    <xf numFmtId="0" fontId="30" fillId="0" borderId="1" xfId="1" applyFont="1" applyBorder="1" applyAlignment="1">
      <alignment horizontal="center"/>
    </xf>
    <xf numFmtId="0" fontId="13" fillId="0" borderId="1" xfId="1" applyFont="1" applyBorder="1"/>
    <xf numFmtId="0" fontId="26" fillId="3" borderId="3" xfId="1" applyFont="1" applyFill="1" applyBorder="1" applyAlignment="1">
      <alignment horizontal="center"/>
    </xf>
    <xf numFmtId="0" fontId="23" fillId="0" borderId="3" xfId="1" applyFont="1" applyBorder="1" applyAlignment="1">
      <alignment horizontal="center" vertical="top"/>
    </xf>
    <xf numFmtId="0" fontId="26" fillId="3" borderId="3" xfId="1" applyFont="1" applyFill="1" applyBorder="1" applyAlignment="1">
      <alignment horizontal="center" vertical="top"/>
    </xf>
    <xf numFmtId="0" fontId="14" fillId="0" borderId="1" xfId="1" applyFont="1" applyBorder="1" applyAlignment="1">
      <alignment horizontal="center" vertical="top"/>
    </xf>
    <xf numFmtId="0" fontId="30" fillId="0" borderId="1" xfId="1" applyFont="1" applyBorder="1" applyAlignment="1">
      <alignment horizontal="center" vertical="top"/>
    </xf>
    <xf numFmtId="0" fontId="13" fillId="0" borderId="1" xfId="1" applyFont="1" applyBorder="1" applyAlignment="1">
      <alignment vertical="top"/>
    </xf>
    <xf numFmtId="0" fontId="12" fillId="0" borderId="1" xfId="1" applyFont="1" applyBorder="1" applyAlignment="1">
      <alignment horizontal="center"/>
    </xf>
    <xf numFmtId="0" fontId="12" fillId="3" borderId="1" xfId="1" applyFont="1" applyFill="1" applyBorder="1" applyAlignment="1">
      <alignment horizontal="center"/>
    </xf>
    <xf numFmtId="0" fontId="12" fillId="0" borderId="1" xfId="3" applyFont="1" applyBorder="1" applyAlignment="1">
      <alignment horizontal="center" vertical="center"/>
    </xf>
    <xf numFmtId="0" fontId="12" fillId="0" borderId="1" xfId="2" applyFont="1" applyBorder="1"/>
    <xf numFmtId="0" fontId="12" fillId="0" borderId="1" xfId="2" applyFont="1" applyBorder="1" applyAlignment="1">
      <alignment horizontal="center"/>
    </xf>
    <xf numFmtId="0" fontId="10" fillId="0" borderId="1" xfId="0" applyFont="1" applyBorder="1" applyAlignment="1">
      <alignment horizontal="left" vertical="top" wrapText="1"/>
    </xf>
    <xf numFmtId="0" fontId="12" fillId="0" borderId="1" xfId="0" applyFont="1" applyBorder="1" applyAlignment="1">
      <alignment horizontal="left" vertical="top" wrapText="1"/>
    </xf>
    <xf numFmtId="0" fontId="12" fillId="0" borderId="1" xfId="1" applyFont="1" applyBorder="1" applyAlignment="1">
      <alignment horizontal="center" vertical="top"/>
    </xf>
    <xf numFmtId="0" fontId="12" fillId="0" borderId="1" xfId="3" applyFont="1" applyBorder="1" applyAlignment="1">
      <alignment horizontal="center" vertical="top"/>
    </xf>
    <xf numFmtId="0" fontId="12" fillId="0" borderId="1" xfId="1" applyFont="1" applyBorder="1" applyAlignment="1">
      <alignment vertical="top"/>
    </xf>
    <xf numFmtId="0" fontId="12" fillId="0" borderId="1" xfId="2" applyFont="1" applyBorder="1" applyAlignment="1">
      <alignment horizontal="center" vertical="top"/>
    </xf>
    <xf numFmtId="0" fontId="13" fillId="0" borderId="1" xfId="0" applyFont="1" applyBorder="1" applyAlignment="1">
      <alignment horizontal="center" vertical="top"/>
    </xf>
    <xf numFmtId="0" fontId="11" fillId="0" borderId="1" xfId="1" applyFont="1" applyBorder="1" applyAlignment="1">
      <alignment horizontal="center" vertical="top"/>
    </xf>
    <xf numFmtId="0" fontId="11" fillId="0" borderId="16" xfId="0" applyFont="1" applyBorder="1" applyAlignment="1">
      <alignment horizontal="center" vertical="top"/>
    </xf>
    <xf numFmtId="0" fontId="12" fillId="3" borderId="3" xfId="1" applyFont="1" applyFill="1" applyBorder="1" applyAlignment="1">
      <alignment horizontal="center" vertical="top"/>
    </xf>
    <xf numFmtId="1" fontId="12" fillId="3" borderId="1" xfId="1" applyNumberFormat="1" applyFont="1" applyFill="1" applyBorder="1" applyAlignment="1">
      <alignment horizontal="center" vertical="top"/>
    </xf>
    <xf numFmtId="1" fontId="12" fillId="3" borderId="1" xfId="2" applyNumberFormat="1" applyFont="1" applyFill="1" applyBorder="1" applyAlignment="1">
      <alignment horizontal="center" vertical="top"/>
    </xf>
    <xf numFmtId="1" fontId="12" fillId="0" borderId="1" xfId="2" applyNumberFormat="1" applyFont="1" applyBorder="1" applyAlignment="1">
      <alignment horizontal="center" vertical="top"/>
    </xf>
    <xf numFmtId="0" fontId="21" fillId="0" borderId="1" xfId="0" applyFont="1" applyBorder="1" applyAlignment="1">
      <alignment vertical="top"/>
    </xf>
    <xf numFmtId="0" fontId="11" fillId="0" borderId="1" xfId="3" applyFont="1" applyBorder="1" applyAlignment="1">
      <alignment horizontal="center" vertical="top"/>
    </xf>
    <xf numFmtId="0" fontId="11" fillId="0" borderId="1" xfId="1" applyFont="1" applyBorder="1"/>
    <xf numFmtId="0" fontId="11" fillId="0" borderId="5" xfId="1" applyFont="1" applyBorder="1"/>
    <xf numFmtId="0" fontId="12" fillId="0" borderId="5" xfId="2" applyFont="1" applyBorder="1"/>
    <xf numFmtId="0" fontId="12" fillId="0" borderId="0" xfId="2" applyFont="1"/>
    <xf numFmtId="0" fontId="12" fillId="0" borderId="10" xfId="1" applyFont="1" applyBorder="1" applyAlignment="1">
      <alignment horizontal="left"/>
    </xf>
    <xf numFmtId="0" fontId="12" fillId="0" borderId="11" xfId="1" applyFont="1" applyBorder="1" applyAlignment="1">
      <alignment horizontal="left"/>
    </xf>
    <xf numFmtId="0" fontId="12" fillId="0" borderId="12" xfId="1" applyFont="1" applyBorder="1" applyAlignment="1">
      <alignment horizontal="left"/>
    </xf>
    <xf numFmtId="0" fontId="12" fillId="0" borderId="0" xfId="2" quotePrefix="1" applyFont="1" applyAlignment="1">
      <alignment horizontal="left"/>
    </xf>
    <xf numFmtId="0" fontId="11" fillId="0" borderId="12" xfId="1" applyFont="1" applyBorder="1" applyAlignment="1">
      <alignment horizontal="left"/>
    </xf>
    <xf numFmtId="0" fontId="12" fillId="0" borderId="12" xfId="2" applyFont="1" applyBorder="1" applyAlignment="1">
      <alignment horizontal="left"/>
    </xf>
    <xf numFmtId="0" fontId="12" fillId="0" borderId="13" xfId="2" applyFont="1" applyBorder="1" applyAlignment="1">
      <alignment horizontal="left"/>
    </xf>
    <xf numFmtId="0" fontId="12" fillId="0" borderId="14" xfId="1" applyFont="1" applyBorder="1" applyAlignment="1">
      <alignment horizontal="left"/>
    </xf>
    <xf numFmtId="0" fontId="11" fillId="0" borderId="0" xfId="1" applyFont="1" applyAlignment="1">
      <alignment horizontal="left"/>
    </xf>
    <xf numFmtId="0" fontId="12" fillId="0" borderId="0" xfId="2" applyFont="1" applyAlignment="1">
      <alignment horizontal="left"/>
    </xf>
    <xf numFmtId="0" fontId="12" fillId="0" borderId="0" xfId="1" applyFont="1" applyAlignment="1">
      <alignment horizontal="left"/>
    </xf>
    <xf numFmtId="0" fontId="11" fillId="0" borderId="9" xfId="1" applyFont="1" applyBorder="1"/>
    <xf numFmtId="0" fontId="12" fillId="0" borderId="0" xfId="1" applyFont="1"/>
    <xf numFmtId="15" fontId="12" fillId="0" borderId="0" xfId="1" applyNumberFormat="1" applyFont="1" applyAlignment="1">
      <alignment horizontal="left"/>
    </xf>
    <xf numFmtId="0" fontId="12" fillId="0" borderId="15" xfId="1" applyFont="1" applyBorder="1" applyAlignment="1">
      <alignment horizontal="left"/>
    </xf>
    <xf numFmtId="0" fontId="12" fillId="0" borderId="9" xfId="2" applyFont="1" applyBorder="1" applyAlignment="1">
      <alignment horizontal="left"/>
    </xf>
    <xf numFmtId="0" fontId="12" fillId="0" borderId="3" xfId="1" applyFont="1" applyBorder="1"/>
    <xf numFmtId="0" fontId="12" fillId="0" borderId="4" xfId="2" applyFont="1" applyBorder="1"/>
    <xf numFmtId="0" fontId="12" fillId="0" borderId="5" xfId="1" applyFont="1" applyBorder="1"/>
    <xf numFmtId="0" fontId="12" fillId="0" borderId="6" xfId="2" applyFont="1" applyBorder="1"/>
    <xf numFmtId="0" fontId="12" fillId="0" borderId="7" xfId="1" applyFont="1" applyBorder="1"/>
    <xf numFmtId="0" fontId="11" fillId="0" borderId="2" xfId="1" applyFont="1" applyBorder="1"/>
    <xf numFmtId="0" fontId="12" fillId="0" borderId="2" xfId="2" applyFont="1" applyBorder="1"/>
    <xf numFmtId="0" fontId="12" fillId="0" borderId="2" xfId="1" applyFont="1" applyBorder="1"/>
    <xf numFmtId="0" fontId="11" fillId="0" borderId="8" xfId="1" applyFont="1" applyBorder="1"/>
    <xf numFmtId="0" fontId="11" fillId="0" borderId="0" xfId="1" applyFont="1"/>
    <xf numFmtId="0" fontId="12" fillId="3" borderId="1" xfId="0" applyFont="1" applyFill="1" applyBorder="1" applyAlignment="1">
      <alignment vertical="top"/>
    </xf>
    <xf numFmtId="0" fontId="10" fillId="3" borderId="0" xfId="6" applyFont="1" applyFill="1" applyAlignment="1">
      <alignment vertical="top"/>
    </xf>
    <xf numFmtId="0" fontId="9" fillId="6" borderId="0" xfId="6" applyFont="1" applyFill="1" applyAlignment="1">
      <alignment vertical="top"/>
    </xf>
    <xf numFmtId="0" fontId="17" fillId="0" borderId="1" xfId="0" applyFont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 wrapText="1"/>
    </xf>
    <xf numFmtId="0" fontId="14" fillId="6" borderId="0" xfId="6" applyFont="1" applyFill="1"/>
    <xf numFmtId="0" fontId="13" fillId="3" borderId="1" xfId="6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 vertical="center" wrapText="1"/>
    </xf>
    <xf numFmtId="0" fontId="13" fillId="3" borderId="1" xfId="7" applyFont="1" applyFill="1" applyBorder="1" applyAlignment="1">
      <alignment horizontal="center"/>
    </xf>
    <xf numFmtId="0" fontId="13" fillId="3" borderId="0" xfId="6" applyFont="1" applyFill="1"/>
    <xf numFmtId="0" fontId="12" fillId="3" borderId="1" xfId="7" quotePrefix="1" applyFont="1" applyFill="1" applyBorder="1"/>
    <xf numFmtId="0" fontId="12" fillId="3" borderId="1" xfId="8" applyFont="1" applyFill="1" applyBorder="1"/>
    <xf numFmtId="0" fontId="17" fillId="0" borderId="1" xfId="0" applyFont="1" applyBorder="1" applyAlignment="1">
      <alignment horizontal="center" vertical="top" wrapText="1"/>
    </xf>
    <xf numFmtId="0" fontId="8" fillId="3" borderId="1" xfId="6" applyFont="1" applyFill="1" applyBorder="1" applyAlignment="1">
      <alignment horizontal="center" vertical="top"/>
    </xf>
    <xf numFmtId="0" fontId="12" fillId="3" borderId="1" xfId="1" applyFont="1" applyFill="1" applyBorder="1" applyAlignment="1">
      <alignment vertical="top" wrapText="1"/>
    </xf>
    <xf numFmtId="0" fontId="12" fillId="3" borderId="1" xfId="0" applyFont="1" applyFill="1" applyBorder="1" applyAlignment="1">
      <alignment vertical="top" wrapText="1"/>
    </xf>
    <xf numFmtId="0" fontId="31" fillId="3" borderId="1" xfId="6" applyFont="1" applyFill="1" applyBorder="1" applyAlignment="1">
      <alignment horizontal="center" vertical="top"/>
    </xf>
    <xf numFmtId="0" fontId="12" fillId="3" borderId="1" xfId="2" applyFont="1" applyFill="1" applyBorder="1" applyAlignment="1">
      <alignment vertical="top" wrapText="1"/>
    </xf>
    <xf numFmtId="0" fontId="12" fillId="3" borderId="1" xfId="0" quotePrefix="1" applyFont="1" applyFill="1" applyBorder="1" applyAlignment="1">
      <alignment vertical="top"/>
    </xf>
    <xf numFmtId="0" fontId="25" fillId="3" borderId="1" xfId="1" applyFont="1" applyFill="1" applyBorder="1" applyAlignment="1">
      <alignment horizontal="center"/>
    </xf>
    <xf numFmtId="0" fontId="25" fillId="3" borderId="1" xfId="1" applyFont="1" applyFill="1" applyBorder="1" applyAlignment="1">
      <alignment horizontal="center" vertical="top"/>
    </xf>
    <xf numFmtId="0" fontId="15" fillId="2" borderId="1" xfId="0" applyFont="1" applyFill="1" applyBorder="1" applyAlignment="1">
      <alignment horizontal="center"/>
    </xf>
    <xf numFmtId="0" fontId="12" fillId="0" borderId="1" xfId="0" applyFont="1" applyBorder="1" applyAlignment="1">
      <alignment horizontal="center" vertical="center" wrapText="1"/>
    </xf>
    <xf numFmtId="0" fontId="15" fillId="3" borderId="1" xfId="1" applyFont="1" applyFill="1" applyBorder="1" applyAlignment="1">
      <alignment horizontal="center"/>
    </xf>
    <xf numFmtId="0" fontId="25" fillId="2" borderId="1" xfId="0" applyFont="1" applyFill="1" applyBorder="1" applyAlignment="1">
      <alignment horizontal="center" vertical="top"/>
    </xf>
    <xf numFmtId="0" fontId="12" fillId="0" borderId="1" xfId="0" applyFont="1" applyBorder="1" applyAlignment="1">
      <alignment horizontal="center" vertical="top" wrapText="1"/>
    </xf>
    <xf numFmtId="0" fontId="25" fillId="2" borderId="1" xfId="0" applyFont="1" applyFill="1" applyBorder="1" applyAlignment="1">
      <alignment horizontal="center"/>
    </xf>
    <xf numFmtId="0" fontId="11" fillId="0" borderId="1" xfId="0" applyFont="1" applyBorder="1" applyAlignment="1">
      <alignment horizontal="left" vertical="top" wrapText="1"/>
    </xf>
    <xf numFmtId="0" fontId="13" fillId="2" borderId="1" xfId="1" applyFont="1" applyFill="1" applyBorder="1" applyAlignment="1">
      <alignment wrapText="1"/>
    </xf>
    <xf numFmtId="0" fontId="25" fillId="0" borderId="1" xfId="0" applyFont="1" applyBorder="1" applyAlignment="1">
      <alignment horizontal="center" vertical="top" wrapText="1"/>
    </xf>
    <xf numFmtId="0" fontId="13" fillId="3" borderId="1" xfId="6" applyFont="1" applyFill="1" applyBorder="1" applyAlignment="1">
      <alignment horizontal="center" vertical="top"/>
    </xf>
    <xf numFmtId="0" fontId="21" fillId="2" borderId="1" xfId="0" applyFont="1" applyFill="1" applyBorder="1" applyAlignment="1">
      <alignment vertical="top"/>
    </xf>
    <xf numFmtId="0" fontId="25" fillId="3" borderId="1" xfId="0" applyFont="1" applyFill="1" applyBorder="1" applyAlignment="1">
      <alignment horizontal="center" vertical="top" wrapText="1"/>
    </xf>
    <xf numFmtId="0" fontId="21" fillId="3" borderId="1" xfId="0" applyFont="1" applyFill="1" applyBorder="1" applyAlignment="1">
      <alignment horizontal="center" vertical="top"/>
    </xf>
    <xf numFmtId="0" fontId="12" fillId="0" borderId="0" xfId="6" applyFont="1" applyAlignment="1">
      <alignment horizontal="center" vertical="top"/>
    </xf>
    <xf numFmtId="0" fontId="12" fillId="0" borderId="0" xfId="6" applyFont="1" applyAlignment="1">
      <alignment horizontal="left" vertical="top"/>
    </xf>
    <xf numFmtId="0" fontId="12" fillId="0" borderId="0" xfId="6" applyFont="1" applyAlignment="1">
      <alignment vertical="top"/>
    </xf>
    <xf numFmtId="0" fontId="12" fillId="0" borderId="1" xfId="6" applyFont="1" applyBorder="1" applyAlignment="1">
      <alignment horizontal="center" vertical="top"/>
    </xf>
    <xf numFmtId="0" fontId="12" fillId="0" borderId="1" xfId="0" applyFont="1" applyBorder="1" applyAlignment="1">
      <alignment horizontal="center" vertical="top"/>
    </xf>
    <xf numFmtId="0" fontId="12" fillId="0" borderId="1" xfId="7" applyFont="1" applyBorder="1" applyAlignment="1">
      <alignment horizontal="center" vertical="top"/>
    </xf>
    <xf numFmtId="0" fontId="12" fillId="0" borderId="1" xfId="0" applyFont="1" applyBorder="1" applyAlignment="1">
      <alignment horizontal="left" vertical="top"/>
    </xf>
    <xf numFmtId="0" fontId="12" fillId="3" borderId="1" xfId="6" applyFont="1" applyFill="1" applyBorder="1" applyAlignment="1">
      <alignment horizontal="center" vertical="top"/>
    </xf>
    <xf numFmtId="0" fontId="12" fillId="0" borderId="1" xfId="1" applyFont="1" applyBorder="1" applyAlignment="1">
      <alignment horizontal="left" vertical="top"/>
    </xf>
    <xf numFmtId="0" fontId="12" fillId="0" borderId="0" xfId="8" applyFont="1" applyAlignment="1">
      <alignment vertical="top"/>
    </xf>
    <xf numFmtId="0" fontId="12" fillId="0" borderId="1" xfId="1" applyFont="1" applyBorder="1" applyAlignment="1">
      <alignment vertical="top" wrapText="1"/>
    </xf>
    <xf numFmtId="0" fontId="12" fillId="0" borderId="0" xfId="7" quotePrefix="1" applyFont="1" applyAlignment="1">
      <alignment horizontal="left" vertical="top"/>
    </xf>
    <xf numFmtId="0" fontId="11" fillId="0" borderId="0" xfId="6" applyFont="1" applyAlignment="1">
      <alignment horizontal="center" vertical="top"/>
    </xf>
    <xf numFmtId="0" fontId="11" fillId="0" borderId="0" xfId="6" applyFont="1" applyAlignment="1">
      <alignment horizontal="left" vertical="top"/>
    </xf>
    <xf numFmtId="0" fontId="11" fillId="0" borderId="0" xfId="6" applyFont="1" applyAlignment="1">
      <alignment vertical="top"/>
    </xf>
    <xf numFmtId="0" fontId="11" fillId="0" borderId="0" xfId="6" applyFont="1" applyAlignment="1">
      <alignment horizontal="right" vertical="top"/>
    </xf>
    <xf numFmtId="0" fontId="11" fillId="0" borderId="1" xfId="6" applyFont="1" applyBorder="1" applyAlignment="1">
      <alignment horizontal="center" vertical="top"/>
    </xf>
    <xf numFmtId="0" fontId="12" fillId="0" borderId="0" xfId="0" applyFont="1"/>
    <xf numFmtId="0" fontId="12" fillId="3" borderId="0" xfId="0" applyFont="1" applyFill="1"/>
    <xf numFmtId="0" fontId="11" fillId="3" borderId="0" xfId="0" applyFont="1" applyFill="1" applyAlignment="1">
      <alignment wrapText="1"/>
    </xf>
    <xf numFmtId="0" fontId="11" fillId="3" borderId="0" xfId="0" applyFont="1" applyFill="1"/>
    <xf numFmtId="0" fontId="11" fillId="3" borderId="0" xfId="0" applyFont="1" applyFill="1" applyAlignment="1">
      <alignment vertical="top"/>
    </xf>
    <xf numFmtId="0" fontId="24" fillId="0" borderId="1" xfId="0" applyFont="1" applyBorder="1" applyAlignment="1">
      <alignment horizontal="center" vertical="top"/>
    </xf>
    <xf numFmtId="0" fontId="7" fillId="0" borderId="1" xfId="0" applyFont="1" applyBorder="1" applyAlignment="1">
      <alignment horizontal="center" vertical="top"/>
    </xf>
    <xf numFmtId="0" fontId="11" fillId="0" borderId="1" xfId="0" applyFont="1" applyBorder="1" applyAlignment="1">
      <alignment horizontal="center" vertical="top"/>
    </xf>
    <xf numFmtId="0" fontId="28" fillId="0" borderId="1" xfId="1" applyFont="1" applyBorder="1" applyAlignment="1">
      <alignment horizontal="center"/>
    </xf>
    <xf numFmtId="0" fontId="7" fillId="0" borderId="16" xfId="0" applyFont="1" applyBorder="1" applyAlignment="1">
      <alignment horizontal="center" vertical="top"/>
    </xf>
    <xf numFmtId="0" fontId="11" fillId="0" borderId="3" xfId="0" applyFont="1" applyBorder="1" applyAlignment="1">
      <alignment horizontal="center"/>
    </xf>
    <xf numFmtId="0" fontId="12" fillId="0" borderId="3" xfId="0" applyFont="1" applyBorder="1"/>
    <xf numFmtId="0" fontId="13" fillId="0" borderId="3" xfId="3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top"/>
    </xf>
    <xf numFmtId="0" fontId="8" fillId="0" borderId="15" xfId="3" applyFont="1" applyBorder="1" applyAlignment="1">
      <alignment horizontal="center" vertical="center"/>
    </xf>
    <xf numFmtId="0" fontId="24" fillId="0" borderId="19" xfId="0" applyFont="1" applyBorder="1" applyAlignment="1">
      <alignment horizontal="center"/>
    </xf>
    <xf numFmtId="0" fontId="8" fillId="3" borderId="3" xfId="3" applyFont="1" applyFill="1" applyBorder="1" applyAlignment="1">
      <alignment horizontal="center" vertical="center"/>
    </xf>
    <xf numFmtId="0" fontId="8" fillId="3" borderId="15" xfId="1" applyFont="1" applyFill="1" applyBorder="1" applyAlignment="1">
      <alignment horizontal="center"/>
    </xf>
    <xf numFmtId="0" fontId="13" fillId="0" borderId="3" xfId="1" applyFont="1" applyBorder="1" applyAlignment="1">
      <alignment horizontal="center" vertical="top"/>
    </xf>
    <xf numFmtId="0" fontId="13" fillId="0" borderId="3" xfId="3" applyFont="1" applyBorder="1" applyAlignment="1">
      <alignment horizontal="center" vertical="top"/>
    </xf>
    <xf numFmtId="1" fontId="13" fillId="0" borderId="3" xfId="2" applyNumberFormat="1" applyFont="1" applyBorder="1" applyAlignment="1">
      <alignment horizontal="center" vertical="top"/>
    </xf>
    <xf numFmtId="0" fontId="8" fillId="0" borderId="15" xfId="2" applyFont="1" applyBorder="1" applyAlignment="1">
      <alignment horizontal="right" vertical="top"/>
    </xf>
    <xf numFmtId="0" fontId="8" fillId="0" borderId="15" xfId="2" applyFont="1" applyBorder="1" applyAlignment="1">
      <alignment horizontal="center" vertical="top"/>
    </xf>
    <xf numFmtId="0" fontId="13" fillId="0" borderId="3" xfId="2" applyFont="1" applyBorder="1"/>
    <xf numFmtId="0" fontId="12" fillId="0" borderId="3" xfId="2" applyFont="1" applyBorder="1" applyAlignment="1">
      <alignment vertical="top"/>
    </xf>
    <xf numFmtId="0" fontId="24" fillId="3" borderId="1" xfId="0" applyFont="1" applyFill="1" applyBorder="1" applyAlignment="1">
      <alignment horizontal="center"/>
    </xf>
    <xf numFmtId="0" fontId="8" fillId="0" borderId="1" xfId="2" applyFont="1" applyBorder="1" applyAlignment="1">
      <alignment horizontal="right"/>
    </xf>
    <xf numFmtId="0" fontId="13" fillId="0" borderId="0" xfId="1" applyFont="1" applyAlignment="1">
      <alignment horizontal="right" vertical="center"/>
    </xf>
    <xf numFmtId="0" fontId="13" fillId="0" borderId="0" xfId="2" applyFont="1" applyAlignment="1">
      <alignment vertical="top"/>
    </xf>
    <xf numFmtId="0" fontId="8" fillId="0" borderId="3" xfId="3" applyFont="1" applyBorder="1" applyAlignment="1">
      <alignment horizontal="center" vertical="top"/>
    </xf>
    <xf numFmtId="0" fontId="13" fillId="0" borderId="1" xfId="1" applyFont="1" applyBorder="1" applyAlignment="1">
      <alignment vertical="top" wrapText="1"/>
    </xf>
    <xf numFmtId="0" fontId="14" fillId="3" borderId="1" xfId="7" applyFont="1" applyFill="1" applyBorder="1" applyAlignment="1">
      <alignment horizontal="center" vertical="top"/>
    </xf>
    <xf numFmtId="0" fontId="14" fillId="3" borderId="0" xfId="6" applyFont="1" applyFill="1" applyAlignment="1">
      <alignment vertical="top"/>
    </xf>
    <xf numFmtId="0" fontId="13" fillId="3" borderId="1" xfId="0" applyFont="1" applyFill="1" applyBorder="1" applyAlignment="1">
      <alignment horizontal="center" vertical="top"/>
    </xf>
    <xf numFmtId="0" fontId="13" fillId="3" borderId="1" xfId="0" applyFont="1" applyFill="1" applyBorder="1" applyAlignment="1">
      <alignment horizontal="center" vertical="top" wrapText="1"/>
    </xf>
    <xf numFmtId="0" fontId="13" fillId="2" borderId="1" xfId="0" applyFont="1" applyFill="1" applyBorder="1" applyAlignment="1">
      <alignment vertical="top"/>
    </xf>
    <xf numFmtId="0" fontId="13" fillId="5" borderId="1" xfId="0" applyFont="1" applyFill="1" applyBorder="1" applyAlignment="1">
      <alignment horizontal="center" vertical="top"/>
    </xf>
    <xf numFmtId="0" fontId="13" fillId="2" borderId="1" xfId="0" applyFont="1" applyFill="1" applyBorder="1" applyAlignment="1">
      <alignment horizontal="center" vertical="top"/>
    </xf>
    <xf numFmtId="0" fontId="13" fillId="2" borderId="1" xfId="0" quotePrefix="1" applyFont="1" applyFill="1" applyBorder="1" applyAlignment="1">
      <alignment vertical="top"/>
    </xf>
    <xf numFmtId="0" fontId="13" fillId="2" borderId="1" xfId="0" applyFont="1" applyFill="1" applyBorder="1" applyAlignment="1">
      <alignment horizontal="center" vertical="top" wrapText="1"/>
    </xf>
    <xf numFmtId="0" fontId="13" fillId="2" borderId="1" xfId="0" applyFont="1" applyFill="1" applyBorder="1" applyAlignment="1">
      <alignment vertical="top" wrapText="1"/>
    </xf>
    <xf numFmtId="0" fontId="13" fillId="2" borderId="1" xfId="0" applyFont="1" applyFill="1" applyBorder="1" applyAlignment="1">
      <alignment horizontal="left" vertical="top"/>
    </xf>
    <xf numFmtId="0" fontId="32" fillId="0" borderId="1" xfId="0" applyFont="1" applyBorder="1" applyAlignment="1">
      <alignment horizontal="center" vertical="top"/>
    </xf>
    <xf numFmtId="0" fontId="11" fillId="0" borderId="0" xfId="6" applyFont="1" applyAlignment="1">
      <alignment horizontal="center" vertical="top"/>
    </xf>
    <xf numFmtId="0" fontId="11" fillId="0" borderId="2" xfId="6" applyFont="1" applyBorder="1" applyAlignment="1">
      <alignment horizontal="center" vertical="top"/>
    </xf>
    <xf numFmtId="0" fontId="11" fillId="2" borderId="0" xfId="0" applyFont="1" applyFill="1" applyAlignment="1">
      <alignment horizontal="center"/>
    </xf>
    <xf numFmtId="0" fontId="11" fillId="2" borderId="2" xfId="0" applyFont="1" applyFill="1" applyBorder="1" applyAlignment="1">
      <alignment horizontal="center"/>
    </xf>
    <xf numFmtId="0" fontId="11" fillId="3" borderId="1" xfId="2" applyFont="1" applyFill="1" applyBorder="1" applyAlignment="1">
      <alignment horizontal="center" vertical="center"/>
    </xf>
    <xf numFmtId="0" fontId="11" fillId="3" borderId="0" xfId="1" applyFont="1" applyFill="1" applyAlignment="1">
      <alignment horizontal="center" wrapText="1"/>
    </xf>
    <xf numFmtId="0" fontId="10" fillId="3" borderId="0" xfId="1" applyFont="1" applyFill="1" applyAlignment="1">
      <alignment horizontal="center"/>
    </xf>
    <xf numFmtId="0" fontId="10" fillId="3" borderId="2" xfId="1" applyFont="1" applyFill="1" applyBorder="1" applyAlignment="1">
      <alignment horizontal="center" vertical="center"/>
    </xf>
    <xf numFmtId="0" fontId="12" fillId="3" borderId="1" xfId="1" applyFont="1" applyFill="1" applyBorder="1" applyAlignment="1">
      <alignment horizontal="center" vertical="center" wrapText="1"/>
    </xf>
    <xf numFmtId="0" fontId="11" fillId="3" borderId="1" xfId="1" applyFont="1" applyFill="1" applyBorder="1" applyAlignment="1">
      <alignment horizontal="center" vertical="center" wrapText="1"/>
    </xf>
    <xf numFmtId="0" fontId="11" fillId="0" borderId="1" xfId="1" applyFont="1" applyBorder="1" applyAlignment="1">
      <alignment horizontal="center" vertical="center"/>
    </xf>
    <xf numFmtId="0" fontId="11" fillId="3" borderId="1" xfId="2" applyFont="1" applyFill="1" applyBorder="1" applyAlignment="1">
      <alignment horizontal="center" vertical="center" wrapText="1"/>
    </xf>
    <xf numFmtId="0" fontId="11" fillId="2" borderId="1" xfId="2" applyFont="1" applyFill="1" applyBorder="1" applyAlignment="1">
      <alignment horizontal="center"/>
    </xf>
    <xf numFmtId="0" fontId="11" fillId="3" borderId="4" xfId="2" applyFont="1" applyFill="1" applyBorder="1" applyAlignment="1">
      <alignment horizontal="center"/>
    </xf>
    <xf numFmtId="0" fontId="11" fillId="3" borderId="5" xfId="2" applyFont="1" applyFill="1" applyBorder="1" applyAlignment="1">
      <alignment horizontal="center"/>
    </xf>
    <xf numFmtId="0" fontId="11" fillId="3" borderId="6" xfId="2" applyFont="1" applyFill="1" applyBorder="1" applyAlignment="1">
      <alignment horizontal="center"/>
    </xf>
    <xf numFmtId="0" fontId="12" fillId="3" borderId="7" xfId="1" applyFont="1" applyFill="1" applyBorder="1" applyAlignment="1">
      <alignment horizontal="left"/>
    </xf>
    <xf numFmtId="0" fontId="12" fillId="3" borderId="2" xfId="1" applyFont="1" applyFill="1" applyBorder="1" applyAlignment="1">
      <alignment horizontal="left"/>
    </xf>
    <xf numFmtId="0" fontId="12" fillId="3" borderId="8" xfId="1" applyFont="1" applyFill="1" applyBorder="1" applyAlignment="1">
      <alignment horizontal="left"/>
    </xf>
    <xf numFmtId="0" fontId="11" fillId="2" borderId="1" xfId="2" applyFont="1" applyFill="1" applyBorder="1" applyAlignment="1">
      <alignment horizontal="center" vertical="center" wrapText="1"/>
    </xf>
    <xf numFmtId="0" fontId="11" fillId="2" borderId="1" xfId="2" applyFont="1" applyFill="1" applyBorder="1" applyAlignment="1">
      <alignment horizontal="center" vertical="center"/>
    </xf>
    <xf numFmtId="0" fontId="12" fillId="3" borderId="0" xfId="2" quotePrefix="1" applyFont="1" applyFill="1" applyAlignment="1">
      <alignment horizontal="left"/>
    </xf>
    <xf numFmtId="0" fontId="12" fillId="3" borderId="0" xfId="1" applyFont="1" applyFill="1" applyAlignment="1">
      <alignment horizontal="left"/>
    </xf>
    <xf numFmtId="0" fontId="11" fillId="0" borderId="1" xfId="2" applyFont="1" applyBorder="1" applyAlignment="1">
      <alignment horizontal="center" vertical="center"/>
    </xf>
    <xf numFmtId="0" fontId="11" fillId="0" borderId="0" xfId="1" applyFont="1" applyAlignment="1">
      <alignment horizontal="center" wrapText="1"/>
    </xf>
    <xf numFmtId="0" fontId="10" fillId="0" borderId="0" xfId="1" applyFont="1" applyAlignment="1">
      <alignment horizontal="center"/>
    </xf>
    <xf numFmtId="0" fontId="10" fillId="0" borderId="2" xfId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 wrapText="1"/>
    </xf>
    <xf numFmtId="0" fontId="11" fillId="0" borderId="4" xfId="1" applyFont="1" applyBorder="1" applyAlignment="1">
      <alignment horizontal="center" vertical="center" wrapText="1"/>
    </xf>
    <xf numFmtId="0" fontId="11" fillId="0" borderId="5" xfId="1" applyFont="1" applyBorder="1" applyAlignment="1">
      <alignment horizontal="center" vertical="center" wrapText="1"/>
    </xf>
    <xf numFmtId="0" fontId="11" fillId="0" borderId="6" xfId="1" applyFont="1" applyBorder="1" applyAlignment="1">
      <alignment horizontal="center" vertical="center" wrapText="1"/>
    </xf>
    <xf numFmtId="0" fontId="11" fillId="0" borderId="10" xfId="1" applyFont="1" applyBorder="1" applyAlignment="1">
      <alignment horizontal="center" vertical="center"/>
    </xf>
    <xf numFmtId="0" fontId="11" fillId="0" borderId="3" xfId="1" applyFont="1" applyBorder="1" applyAlignment="1">
      <alignment horizontal="center" vertical="center"/>
    </xf>
    <xf numFmtId="0" fontId="11" fillId="3" borderId="10" xfId="1" applyFont="1" applyFill="1" applyBorder="1" applyAlignment="1">
      <alignment horizontal="center" vertical="center" wrapText="1"/>
    </xf>
    <xf numFmtId="0" fontId="11" fillId="3" borderId="3" xfId="1" applyFont="1" applyFill="1" applyBorder="1" applyAlignment="1">
      <alignment horizontal="center" vertical="center" wrapText="1"/>
    </xf>
    <xf numFmtId="0" fontId="11" fillId="3" borderId="4" xfId="2" applyFont="1" applyFill="1" applyBorder="1" applyAlignment="1">
      <alignment horizontal="center" vertical="center" wrapText="1"/>
    </xf>
    <xf numFmtId="0" fontId="11" fillId="3" borderId="6" xfId="2" applyFont="1" applyFill="1" applyBorder="1" applyAlignment="1">
      <alignment horizontal="center" vertical="center" wrapText="1"/>
    </xf>
    <xf numFmtId="0" fontId="11" fillId="0" borderId="4" xfId="2" applyFont="1" applyBorder="1" applyAlignment="1">
      <alignment horizontal="center"/>
    </xf>
    <xf numFmtId="0" fontId="11" fillId="0" borderId="5" xfId="2" applyFont="1" applyBorder="1" applyAlignment="1">
      <alignment horizontal="center"/>
    </xf>
    <xf numFmtId="0" fontId="11" fillId="0" borderId="6" xfId="2" applyFont="1" applyBorder="1" applyAlignment="1">
      <alignment horizontal="center"/>
    </xf>
    <xf numFmtId="0" fontId="11" fillId="0" borderId="10" xfId="2" applyFont="1" applyBorder="1" applyAlignment="1">
      <alignment horizontal="center" vertical="center" wrapText="1"/>
    </xf>
    <xf numFmtId="0" fontId="11" fillId="0" borderId="3" xfId="2" applyFont="1" applyBorder="1" applyAlignment="1">
      <alignment horizontal="center" vertical="center"/>
    </xf>
    <xf numFmtId="0" fontId="12" fillId="0" borderId="14" xfId="2" quotePrefix="1" applyFont="1" applyBorder="1" applyAlignment="1">
      <alignment horizontal="left"/>
    </xf>
    <xf numFmtId="0" fontId="12" fillId="0" borderId="0" xfId="2" quotePrefix="1" applyFont="1" applyAlignment="1">
      <alignment horizontal="left"/>
    </xf>
    <xf numFmtId="0" fontId="9" fillId="3" borderId="0" xfId="6" applyFont="1" applyFill="1" applyAlignment="1">
      <alignment horizontal="center"/>
    </xf>
    <xf numFmtId="0" fontId="9" fillId="3" borderId="2" xfId="6" applyFont="1" applyFill="1" applyBorder="1" applyAlignment="1">
      <alignment horizontal="center"/>
    </xf>
  </cellXfs>
  <cellStyles count="9">
    <cellStyle name="Normal 2" xfId="2" xr:uid="{00000000-0005-0000-0000-000000000000}"/>
    <cellStyle name="Normal 2 2" xfId="6" xr:uid="{00000000-0005-0000-0000-000001000000}"/>
    <cellStyle name="Normal 3" xfId="7" xr:uid="{00000000-0005-0000-0000-000002000000}"/>
    <cellStyle name="Normal_EF-EP-01_2" xfId="3" xr:uid="{00000000-0005-0000-0000-000003000000}"/>
    <cellStyle name="ปกติ" xfId="0" builtinId="0"/>
    <cellStyle name="ปกติ 2" xfId="1" xr:uid="{00000000-0005-0000-0000-000005000000}"/>
    <cellStyle name="ปกติ 2 2" xfId="8" xr:uid="{00000000-0005-0000-0000-000006000000}"/>
    <cellStyle name="ปกติ 3" xfId="4" xr:uid="{00000000-0005-0000-0000-000007000000}"/>
    <cellStyle name="ปกติ 3 2" xfId="5" xr:uid="{00000000-0005-0000-0000-000008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image" Target="../media/image5.jpeg"/><Relationship Id="rId1" Type="http://schemas.openxmlformats.org/officeDocument/2006/relationships/image" Target="../media/image4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jpeg"/><Relationship Id="rId2" Type="http://schemas.openxmlformats.org/officeDocument/2006/relationships/image" Target="../media/image5.jpeg"/><Relationship Id="rId1" Type="http://schemas.openxmlformats.org/officeDocument/2006/relationships/image" Target="../media/image4.jpe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jpeg"/><Relationship Id="rId2" Type="http://schemas.openxmlformats.org/officeDocument/2006/relationships/image" Target="../media/image5.jpeg"/><Relationship Id="rId1" Type="http://schemas.openxmlformats.org/officeDocument/2006/relationships/image" Target="../media/image4.jpe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image" Target="../media/image5.jpeg"/><Relationship Id="rId1" Type="http://schemas.openxmlformats.org/officeDocument/2006/relationships/image" Target="../media/image4.jpe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jpeg"/><Relationship Id="rId2" Type="http://schemas.openxmlformats.org/officeDocument/2006/relationships/image" Target="../media/image5.jpeg"/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1038522</xdr:colOff>
      <xdr:row>103</xdr:row>
      <xdr:rowOff>35500</xdr:rowOff>
    </xdr:from>
    <xdr:to>
      <xdr:col>1</xdr:col>
      <xdr:colOff>2072710</xdr:colOff>
      <xdr:row>103</xdr:row>
      <xdr:rowOff>366844</xdr:rowOff>
    </xdr:to>
    <xdr:pic>
      <xdr:nvPicPr>
        <xdr:cNvPr id="4" name="รูปภาพ 3">
          <a:extLst>
            <a:ext uri="{FF2B5EF4-FFF2-40B4-BE49-F238E27FC236}">
              <a16:creationId xmlns:a16="http://schemas.microsoft.com/office/drawing/2014/main" id="{366C7F92-54E7-4FF7-3ABB-3240EA129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17953" y="28335008"/>
          <a:ext cx="1034188" cy="3313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1078649</xdr:colOff>
      <xdr:row>103</xdr:row>
      <xdr:rowOff>75563</xdr:rowOff>
    </xdr:from>
    <xdr:to>
      <xdr:col>0</xdr:col>
      <xdr:colOff>1906910</xdr:colOff>
      <xdr:row>103</xdr:row>
      <xdr:rowOff>348889</xdr:rowOff>
    </xdr:to>
    <xdr:pic>
      <xdr:nvPicPr>
        <xdr:cNvPr id="3" name="รูปภาพ 2" descr="https://erp.mju.ac.th/images/wdv5e67d35ghlp908/208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8649" y="28375071"/>
          <a:ext cx="828261" cy="273326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1088557</xdr:colOff>
      <xdr:row>103</xdr:row>
      <xdr:rowOff>62584</xdr:rowOff>
    </xdr:from>
    <xdr:to>
      <xdr:col>2</xdr:col>
      <xdr:colOff>2067035</xdr:colOff>
      <xdr:row>103</xdr:row>
      <xdr:rowOff>337032</xdr:rowOff>
    </xdr:to>
    <xdr:pic>
      <xdr:nvPicPr>
        <xdr:cNvPr id="2" name="รูปภาพ 1" descr="G:\กรีนออฟฟิต\แม่โจ้\ทะเบียนระบุปัญหาอาคารสมเด็จพระเทพฯ\New folder\อ.เม้ง.jpg">
          <a:extLst>
            <a:ext uri="{FF2B5EF4-FFF2-40B4-BE49-F238E27FC236}">
              <a16:creationId xmlns:a16="http://schemas.microsoft.com/office/drawing/2014/main" id="{735535E2-999B-4F63-97BB-CE7612C04EFF}"/>
            </a:ext>
          </a:extLst>
        </xdr:cNvPr>
        <xdr:cNvPicPr/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0819" y="28362092"/>
          <a:ext cx="978478" cy="274448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160867</xdr:colOff>
      <xdr:row>57</xdr:row>
      <xdr:rowOff>33289</xdr:rowOff>
    </xdr:from>
    <xdr:to>
      <xdr:col>22</xdr:col>
      <xdr:colOff>43749</xdr:colOff>
      <xdr:row>58</xdr:row>
      <xdr:rowOff>3547</xdr:rowOff>
    </xdr:to>
    <xdr:pic>
      <xdr:nvPicPr>
        <xdr:cNvPr id="2" name="รูปภาพ 1" descr="https://erp.mju.ac.th/images/wdv5e67d35ghlp908/208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27534" y="19811422"/>
          <a:ext cx="856548" cy="283525"/>
        </a:xfrm>
        <a:prstGeom prst="rect">
          <a:avLst/>
        </a:prstGeom>
        <a:noFill/>
      </xdr:spPr>
    </xdr:pic>
    <xdr:clientData/>
  </xdr:twoCellAnchor>
  <xdr:twoCellAnchor editAs="oneCell">
    <xdr:from>
      <xdr:col>19</xdr:col>
      <xdr:colOff>94095</xdr:colOff>
      <xdr:row>60</xdr:row>
      <xdr:rowOff>45220</xdr:rowOff>
    </xdr:from>
    <xdr:to>
      <xdr:col>22</xdr:col>
      <xdr:colOff>120073</xdr:colOff>
      <xdr:row>60</xdr:row>
      <xdr:rowOff>398225</xdr:rowOff>
    </xdr:to>
    <xdr:pic>
      <xdr:nvPicPr>
        <xdr:cNvPr id="4" name="รูปภาพ 3" descr="G:\กรีนออฟฟิต\แม่โจ้\ทะเบียนระบุปัญหาอาคารสมเด็จพระเทพฯ\New folder\อ.เม้ง.jp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60762" y="21025620"/>
          <a:ext cx="999644" cy="35300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19</xdr:col>
      <xdr:colOff>79374</xdr:colOff>
      <xdr:row>58</xdr:row>
      <xdr:rowOff>261408</xdr:rowOff>
    </xdr:from>
    <xdr:to>
      <xdr:col>22</xdr:col>
      <xdr:colOff>167414</xdr:colOff>
      <xdr:row>59</xdr:row>
      <xdr:rowOff>326178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8918D4A7-D981-4560-90F9-0DDE668265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46041" y="20352808"/>
          <a:ext cx="1061706" cy="3780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36635</xdr:colOff>
      <xdr:row>64</xdr:row>
      <xdr:rowOff>13138</xdr:rowOff>
    </xdr:from>
    <xdr:to>
      <xdr:col>24</xdr:col>
      <xdr:colOff>355295</xdr:colOff>
      <xdr:row>65</xdr:row>
      <xdr:rowOff>115952</xdr:rowOff>
    </xdr:to>
    <xdr:pic>
      <xdr:nvPicPr>
        <xdr:cNvPr id="2" name="รูปภาพ 1" descr="https://erp.mju.ac.th/images/wdv5e67d35ghlp908/208.JP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2308" y="26744196"/>
          <a:ext cx="978083" cy="414266"/>
        </a:xfrm>
        <a:prstGeom prst="rect">
          <a:avLst/>
        </a:prstGeom>
        <a:noFill/>
      </xdr:spPr>
    </xdr:pic>
    <xdr:clientData/>
  </xdr:twoCellAnchor>
  <xdr:twoCellAnchor editAs="oneCell">
    <xdr:from>
      <xdr:col>21</xdr:col>
      <xdr:colOff>130257</xdr:colOff>
      <xdr:row>67</xdr:row>
      <xdr:rowOff>18725</xdr:rowOff>
    </xdr:from>
    <xdr:to>
      <xdr:col>24</xdr:col>
      <xdr:colOff>442384</xdr:colOff>
      <xdr:row>67</xdr:row>
      <xdr:rowOff>348437</xdr:rowOff>
    </xdr:to>
    <xdr:pic>
      <xdr:nvPicPr>
        <xdr:cNvPr id="5" name="รูปภาพ 4" descr="G:\กรีนออฟฟิต\แม่โจ้\ทะเบียนระบุปัญหาอาคารสมเด็จพระเทพฯ\New folder\อ.เม้ง.jpg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73590" y="4008642"/>
          <a:ext cx="968293" cy="32971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21</xdr:col>
      <xdr:colOff>80397</xdr:colOff>
      <xdr:row>66</xdr:row>
      <xdr:rowOff>10583</xdr:rowOff>
    </xdr:from>
    <xdr:to>
      <xdr:col>24</xdr:col>
      <xdr:colOff>399189</xdr:colOff>
      <xdr:row>66</xdr:row>
      <xdr:rowOff>358987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20555E8D-01EA-450F-9A08-833090FEF1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5397" y="20235333"/>
          <a:ext cx="974958" cy="3484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99734</xdr:colOff>
      <xdr:row>51</xdr:row>
      <xdr:rowOff>57728</xdr:rowOff>
    </xdr:from>
    <xdr:to>
      <xdr:col>1</xdr:col>
      <xdr:colOff>1265179</xdr:colOff>
      <xdr:row>52</xdr:row>
      <xdr:rowOff>42416</xdr:rowOff>
    </xdr:to>
    <xdr:pic>
      <xdr:nvPicPr>
        <xdr:cNvPr id="2" name="รูปภาพ 1" descr="https://erp.mju.ac.th/images/wdv5e67d35ghlp908/208.JP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3828" y="18614669"/>
          <a:ext cx="1165445" cy="370170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918882</xdr:colOff>
      <xdr:row>51</xdr:row>
      <xdr:rowOff>168528</xdr:rowOff>
    </xdr:from>
    <xdr:to>
      <xdr:col>7</xdr:col>
      <xdr:colOff>928967</xdr:colOff>
      <xdr:row>52</xdr:row>
      <xdr:rowOff>33875</xdr:rowOff>
    </xdr:to>
    <xdr:pic>
      <xdr:nvPicPr>
        <xdr:cNvPr id="4" name="รูปภาพ 3" descr="G:\กรีนออฟฟิต\แม่โจ้\ทะเบียนระบุปัญหาอาคารสมเด็จพระเทพฯ\New folder\อ.เม้ง.jpg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43800" y="22571328"/>
          <a:ext cx="1014132" cy="250829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1156447</xdr:colOff>
      <xdr:row>51</xdr:row>
      <xdr:rowOff>129988</xdr:rowOff>
    </xdr:from>
    <xdr:to>
      <xdr:col>4</xdr:col>
      <xdr:colOff>137717</xdr:colOff>
      <xdr:row>52</xdr:row>
      <xdr:rowOff>91664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084468E0-74E8-4299-91DE-C714FE0920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02423" y="22532788"/>
          <a:ext cx="1034188" cy="3471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529591</xdr:colOff>
      <xdr:row>60</xdr:row>
      <xdr:rowOff>362528</xdr:rowOff>
    </xdr:from>
    <xdr:to>
      <xdr:col>1</xdr:col>
      <xdr:colOff>1111770</xdr:colOff>
      <xdr:row>62</xdr:row>
      <xdr:rowOff>4317</xdr:rowOff>
    </xdr:to>
    <xdr:pic>
      <xdr:nvPicPr>
        <xdr:cNvPr id="2" name="รูปภาพ 1" descr="https://erp.mju.ac.th/images/wdv5e67d35ghlp908/208.JPG">
          <a:extLst>
            <a:ext uri="{FF2B5EF4-FFF2-40B4-BE49-F238E27FC236}">
              <a16:creationId xmlns:a16="http://schemas.microsoft.com/office/drawing/2014/main" id="{F48F3307-965B-4CD8-861F-18186D183376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9591" y="24037868"/>
          <a:ext cx="1161299" cy="380929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1163731</xdr:colOff>
      <xdr:row>61</xdr:row>
      <xdr:rowOff>93449</xdr:rowOff>
    </xdr:from>
    <xdr:to>
      <xdr:col>5</xdr:col>
      <xdr:colOff>397360</xdr:colOff>
      <xdr:row>62</xdr:row>
      <xdr:rowOff>42617</xdr:rowOff>
    </xdr:to>
    <xdr:pic>
      <xdr:nvPicPr>
        <xdr:cNvPr id="6" name="รูปภาพ 5" descr="G:\กรีนออฟฟิต\แม่โจ้\ทะเบียนระบุปัญหาอาคารสมเด็จพระเทพฯ\New folder\อ.เม้ง.jpg">
          <a:extLst>
            <a:ext uri="{FF2B5EF4-FFF2-40B4-BE49-F238E27FC236}">
              <a16:creationId xmlns:a16="http://schemas.microsoft.com/office/drawing/2014/main" id="{832BDD45-D361-4529-AE6A-F2479577324C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19651" y="24195509"/>
          <a:ext cx="970989" cy="26158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661035</xdr:colOff>
      <xdr:row>60</xdr:row>
      <xdr:rowOff>409575</xdr:rowOff>
    </xdr:from>
    <xdr:to>
      <xdr:col>3</xdr:col>
      <xdr:colOff>618898</xdr:colOff>
      <xdr:row>62</xdr:row>
      <xdr:rowOff>45720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E6839EB3-2858-40BB-AF71-6238E0BD1B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80435" y="24084915"/>
          <a:ext cx="1093243" cy="3752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165880</xdr:colOff>
      <xdr:row>59</xdr:row>
      <xdr:rowOff>234022</xdr:rowOff>
    </xdr:from>
    <xdr:to>
      <xdr:col>1</xdr:col>
      <xdr:colOff>1011286</xdr:colOff>
      <xdr:row>61</xdr:row>
      <xdr:rowOff>17624</xdr:rowOff>
    </xdr:to>
    <xdr:pic>
      <xdr:nvPicPr>
        <xdr:cNvPr id="2" name="รูปภาพ 1" descr="https://erp.mju.ac.th/images/wdv5e67d35ghlp908/208.JPG">
          <a:extLst>
            <a:ext uri="{FF2B5EF4-FFF2-40B4-BE49-F238E27FC236}">
              <a16:creationId xmlns:a16="http://schemas.microsoft.com/office/drawing/2014/main" id="{788003B5-7EB1-4A94-B9F1-FDE2DB925916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5000" y="21402382"/>
          <a:ext cx="845406" cy="317002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438224</xdr:colOff>
      <xdr:row>59</xdr:row>
      <xdr:rowOff>219439</xdr:rowOff>
    </xdr:from>
    <xdr:to>
      <xdr:col>4</xdr:col>
      <xdr:colOff>1450000</xdr:colOff>
      <xdr:row>61</xdr:row>
      <xdr:rowOff>14763</xdr:rowOff>
    </xdr:to>
    <xdr:pic>
      <xdr:nvPicPr>
        <xdr:cNvPr id="4" name="รูปภาพ 3" descr="G:\กรีนออฟฟิต\แม่โจ้\ทะเบียนระบุปัญหาอาคารสมเด็จพระเทพฯ\New folder\อ.เม้ง.jpg">
          <a:extLst>
            <a:ext uri="{FF2B5EF4-FFF2-40B4-BE49-F238E27FC236}">
              <a16:creationId xmlns:a16="http://schemas.microsoft.com/office/drawing/2014/main" id="{28A2286F-4A19-4D2C-AE44-86BF14E93F62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71384" y="21387799"/>
          <a:ext cx="1011776" cy="328724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2809164</xdr:colOff>
      <xdr:row>59</xdr:row>
      <xdr:rowOff>243840</xdr:rowOff>
    </xdr:from>
    <xdr:to>
      <xdr:col>2</xdr:col>
      <xdr:colOff>880508</xdr:colOff>
      <xdr:row>60</xdr:row>
      <xdr:rowOff>225521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3485D2CB-A6F4-4C35-BA62-034F4C54DA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88284" y="21412200"/>
          <a:ext cx="1088864" cy="2579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5"/>
  <sheetViews>
    <sheetView tabSelected="1" zoomScaleNormal="100" zoomScaleSheetLayoutView="130" workbookViewId="0">
      <pane ySplit="4" topLeftCell="A64" activePane="bottomLeft" state="frozen"/>
      <selection pane="bottomLeft" activeCell="A74" sqref="A74"/>
    </sheetView>
  </sheetViews>
  <sheetFormatPr defaultColWidth="9.140625" defaultRowHeight="18"/>
  <cols>
    <col min="1" max="1" width="36.140625" style="46" customWidth="1"/>
    <col min="2" max="2" width="43.85546875" style="46" customWidth="1"/>
    <col min="3" max="3" width="39" style="46" customWidth="1"/>
    <col min="4" max="16384" width="9.140625" style="46"/>
  </cols>
  <sheetData>
    <row r="1" spans="1:3">
      <c r="C1" s="47" t="s">
        <v>0</v>
      </c>
    </row>
    <row r="2" spans="1:3">
      <c r="A2" s="374" t="s">
        <v>1</v>
      </c>
      <c r="B2" s="374"/>
      <c r="C2" s="374"/>
    </row>
    <row r="3" spans="1:3">
      <c r="A3" s="375" t="s">
        <v>2</v>
      </c>
      <c r="B3" s="375"/>
      <c r="C3" s="375"/>
    </row>
    <row r="4" spans="1:3" s="48" customFormat="1">
      <c r="A4" s="23" t="s">
        <v>3</v>
      </c>
      <c r="B4" s="23" t="s">
        <v>4</v>
      </c>
      <c r="C4" s="23" t="s">
        <v>5</v>
      </c>
    </row>
    <row r="5" spans="1:3" ht="36">
      <c r="A5" s="21"/>
      <c r="B5" s="16" t="s">
        <v>6</v>
      </c>
      <c r="C5" s="21"/>
    </row>
    <row r="6" spans="1:3">
      <c r="A6" s="17" t="s">
        <v>7</v>
      </c>
      <c r="B6" s="15"/>
      <c r="C6" s="17" t="s">
        <v>8</v>
      </c>
    </row>
    <row r="7" spans="1:3">
      <c r="A7" s="17" t="s">
        <v>9</v>
      </c>
      <c r="B7" s="15"/>
      <c r="C7" s="21" t="s">
        <v>10</v>
      </c>
    </row>
    <row r="8" spans="1:3">
      <c r="A8" s="21" t="s">
        <v>11</v>
      </c>
      <c r="B8" s="17"/>
      <c r="C8" s="17" t="s">
        <v>12</v>
      </c>
    </row>
    <row r="9" spans="1:3">
      <c r="A9" s="49"/>
      <c r="B9" s="17"/>
      <c r="C9" s="17" t="s">
        <v>13</v>
      </c>
    </row>
    <row r="10" spans="1:3">
      <c r="A10" s="17"/>
      <c r="B10" s="15"/>
      <c r="C10" s="17" t="s">
        <v>14</v>
      </c>
    </row>
    <row r="11" spans="1:3">
      <c r="A11" s="17"/>
      <c r="B11" s="15"/>
      <c r="C11" s="21" t="s">
        <v>15</v>
      </c>
    </row>
    <row r="12" spans="1:3">
      <c r="A12" s="17"/>
      <c r="B12" s="24" t="s">
        <v>16</v>
      </c>
      <c r="C12" s="21"/>
    </row>
    <row r="13" spans="1:3">
      <c r="A13" s="17" t="s">
        <v>7</v>
      </c>
      <c r="B13" s="15"/>
      <c r="C13" s="21" t="s">
        <v>17</v>
      </c>
    </row>
    <row r="14" spans="1:3">
      <c r="A14" s="21" t="s">
        <v>11</v>
      </c>
      <c r="B14" s="17"/>
      <c r="C14" s="17" t="s">
        <v>18</v>
      </c>
    </row>
    <row r="15" spans="1:3">
      <c r="A15" s="32"/>
      <c r="B15" s="17"/>
      <c r="C15" s="17" t="s">
        <v>19</v>
      </c>
    </row>
    <row r="16" spans="1:3">
      <c r="A16" s="32"/>
      <c r="B16" s="17"/>
      <c r="C16" s="17"/>
    </row>
    <row r="17" spans="1:3">
      <c r="A17" s="21"/>
      <c r="B17" s="24" t="s">
        <v>20</v>
      </c>
      <c r="C17" s="21"/>
    </row>
    <row r="18" spans="1:3">
      <c r="A18" s="21" t="s">
        <v>7</v>
      </c>
      <c r="B18" s="15"/>
      <c r="C18" s="21" t="s">
        <v>21</v>
      </c>
    </row>
    <row r="19" spans="1:3">
      <c r="A19" s="21" t="s">
        <v>22</v>
      </c>
      <c r="B19" s="17"/>
      <c r="C19" s="17" t="s">
        <v>23</v>
      </c>
    </row>
    <row r="20" spans="1:3">
      <c r="A20" s="21"/>
      <c r="B20" s="15"/>
      <c r="C20" s="21"/>
    </row>
    <row r="21" spans="1:3">
      <c r="A21" s="21"/>
      <c r="B21" s="24" t="s">
        <v>24</v>
      </c>
      <c r="C21" s="17"/>
    </row>
    <row r="22" spans="1:3">
      <c r="A22" s="21" t="s">
        <v>7</v>
      </c>
      <c r="B22" s="15"/>
      <c r="C22" s="17" t="s">
        <v>25</v>
      </c>
    </row>
    <row r="23" spans="1:3">
      <c r="A23" s="17" t="s">
        <v>22</v>
      </c>
      <c r="B23" s="17"/>
      <c r="C23" s="17" t="s">
        <v>23</v>
      </c>
    </row>
    <row r="24" spans="1:3">
      <c r="A24" s="17" t="s">
        <v>26</v>
      </c>
      <c r="B24" s="15"/>
      <c r="C24" s="17" t="s">
        <v>27</v>
      </c>
    </row>
    <row r="25" spans="1:3">
      <c r="A25" s="17" t="s">
        <v>28</v>
      </c>
      <c r="B25" s="15"/>
      <c r="C25" s="17" t="s">
        <v>29</v>
      </c>
    </row>
    <row r="26" spans="1:3">
      <c r="A26" s="21"/>
      <c r="B26" s="24" t="s">
        <v>30</v>
      </c>
      <c r="C26" s="17"/>
    </row>
    <row r="27" spans="1:3">
      <c r="A27" s="21" t="s">
        <v>7</v>
      </c>
      <c r="B27" s="15"/>
      <c r="C27" s="17" t="s">
        <v>25</v>
      </c>
    </row>
    <row r="28" spans="1:3">
      <c r="A28" s="17" t="s">
        <v>22</v>
      </c>
      <c r="B28" s="17"/>
      <c r="C28" s="17" t="s">
        <v>23</v>
      </c>
    </row>
    <row r="29" spans="1:3">
      <c r="A29" s="17" t="s">
        <v>26</v>
      </c>
      <c r="B29" s="15"/>
      <c r="C29" s="17" t="s">
        <v>27</v>
      </c>
    </row>
    <row r="30" spans="1:3">
      <c r="A30" s="17" t="s">
        <v>11</v>
      </c>
      <c r="B30" s="15"/>
      <c r="C30" s="17" t="s">
        <v>29</v>
      </c>
    </row>
    <row r="31" spans="1:3">
      <c r="A31" s="17"/>
      <c r="B31" s="15"/>
      <c r="C31" s="17"/>
    </row>
    <row r="32" spans="1:3">
      <c r="A32" s="17"/>
      <c r="B32" s="24" t="s">
        <v>31</v>
      </c>
      <c r="C32" s="17"/>
    </row>
    <row r="33" spans="1:3">
      <c r="A33" s="17" t="s">
        <v>7</v>
      </c>
      <c r="B33" s="15"/>
      <c r="C33" s="17" t="s">
        <v>21</v>
      </c>
    </row>
    <row r="34" spans="1:3">
      <c r="A34" s="17"/>
      <c r="B34" s="24" t="s">
        <v>32</v>
      </c>
      <c r="C34" s="17"/>
    </row>
    <row r="35" spans="1:3">
      <c r="A35" s="17" t="s">
        <v>33</v>
      </c>
      <c r="B35" s="15"/>
      <c r="C35" s="17" t="s">
        <v>34</v>
      </c>
    </row>
    <row r="36" spans="1:3">
      <c r="A36" s="17"/>
      <c r="B36" s="15"/>
      <c r="C36" s="17" t="s">
        <v>35</v>
      </c>
    </row>
    <row r="37" spans="1:3">
      <c r="A37" s="17"/>
      <c r="B37" s="15"/>
      <c r="C37" s="17"/>
    </row>
    <row r="38" spans="1:3">
      <c r="A38" s="17"/>
      <c r="B38" s="24" t="s">
        <v>36</v>
      </c>
      <c r="C38" s="17"/>
    </row>
    <row r="39" spans="1:3">
      <c r="A39" s="17" t="s">
        <v>37</v>
      </c>
      <c r="B39" s="15"/>
      <c r="C39" s="17" t="s">
        <v>38</v>
      </c>
    </row>
    <row r="40" spans="1:3" ht="36">
      <c r="A40" s="27" t="s">
        <v>39</v>
      </c>
      <c r="B40" s="50"/>
      <c r="C40" s="10" t="s">
        <v>40</v>
      </c>
    </row>
    <row r="41" spans="1:3" ht="36">
      <c r="A41" s="31" t="s">
        <v>41</v>
      </c>
      <c r="B41" s="15"/>
      <c r="C41" s="10" t="s">
        <v>42</v>
      </c>
    </row>
    <row r="42" spans="1:3">
      <c r="A42" s="17" t="s">
        <v>11</v>
      </c>
      <c r="B42" s="15"/>
      <c r="C42" s="17" t="s">
        <v>43</v>
      </c>
    </row>
    <row r="43" spans="1:3">
      <c r="A43" s="17"/>
      <c r="B43" s="15"/>
      <c r="C43" s="17" t="s">
        <v>44</v>
      </c>
    </row>
    <row r="44" spans="1:3">
      <c r="A44" s="17"/>
      <c r="B44" s="15"/>
      <c r="C44" s="17"/>
    </row>
    <row r="45" spans="1:3">
      <c r="A45" s="17"/>
      <c r="B45" s="15"/>
      <c r="C45" s="17"/>
    </row>
    <row r="46" spans="1:3">
      <c r="A46" s="17"/>
      <c r="B46" s="24" t="s">
        <v>45</v>
      </c>
      <c r="C46" s="17"/>
    </row>
    <row r="47" spans="1:3">
      <c r="A47" s="29" t="s">
        <v>46</v>
      </c>
      <c r="B47" s="15" t="s">
        <v>47</v>
      </c>
      <c r="C47" s="29" t="s">
        <v>48</v>
      </c>
    </row>
    <row r="48" spans="1:3">
      <c r="A48" s="29" t="s">
        <v>11</v>
      </c>
      <c r="B48" s="15"/>
      <c r="C48" s="29" t="s">
        <v>49</v>
      </c>
    </row>
    <row r="49" spans="1:3">
      <c r="A49" s="29"/>
      <c r="B49" s="15"/>
      <c r="C49" s="29" t="s">
        <v>50</v>
      </c>
    </row>
    <row r="50" spans="1:3">
      <c r="A50" s="29"/>
      <c r="B50" s="17"/>
      <c r="C50" s="17" t="s">
        <v>51</v>
      </c>
    </row>
    <row r="51" spans="1:3">
      <c r="A51" s="21"/>
      <c r="B51" s="24" t="s">
        <v>52</v>
      </c>
      <c r="C51" s="21"/>
    </row>
    <row r="52" spans="1:3">
      <c r="A52" s="17" t="s">
        <v>53</v>
      </c>
      <c r="B52" s="17" t="s">
        <v>54</v>
      </c>
      <c r="C52" s="17" t="s">
        <v>55</v>
      </c>
    </row>
    <row r="53" spans="1:3">
      <c r="A53" s="17" t="s">
        <v>37</v>
      </c>
      <c r="B53" s="17" t="s">
        <v>56</v>
      </c>
      <c r="C53" s="21" t="s">
        <v>57</v>
      </c>
    </row>
    <row r="54" spans="1:3">
      <c r="A54" s="17" t="s">
        <v>58</v>
      </c>
      <c r="B54" s="15"/>
      <c r="C54" s="17" t="s">
        <v>59</v>
      </c>
    </row>
    <row r="55" spans="1:3">
      <c r="A55" s="21" t="s">
        <v>11</v>
      </c>
      <c r="B55" s="17"/>
      <c r="C55" s="17"/>
    </row>
    <row r="56" spans="1:3">
      <c r="A56" s="17" t="s">
        <v>60</v>
      </c>
      <c r="B56" s="15"/>
      <c r="C56" s="17"/>
    </row>
    <row r="57" spans="1:3">
      <c r="A57" s="17"/>
      <c r="B57" s="15"/>
      <c r="C57" s="17"/>
    </row>
    <row r="58" spans="1:3">
      <c r="A58" s="17"/>
      <c r="B58" s="24" t="s">
        <v>61</v>
      </c>
      <c r="C58" s="17"/>
    </row>
    <row r="59" spans="1:3">
      <c r="A59" s="17" t="s">
        <v>37</v>
      </c>
      <c r="B59" s="15"/>
      <c r="C59" s="17" t="s">
        <v>57</v>
      </c>
    </row>
    <row r="60" spans="1:3">
      <c r="A60" s="17" t="s">
        <v>62</v>
      </c>
      <c r="B60" s="15"/>
      <c r="C60" s="10" t="s">
        <v>42</v>
      </c>
    </row>
    <row r="61" spans="1:3" ht="36">
      <c r="A61" s="31" t="s">
        <v>63</v>
      </c>
      <c r="B61" s="15"/>
      <c r="C61" s="10" t="s">
        <v>43</v>
      </c>
    </row>
    <row r="62" spans="1:3">
      <c r="A62" s="17"/>
      <c r="B62" s="15"/>
      <c r="C62" s="17" t="s">
        <v>64</v>
      </c>
    </row>
    <row r="63" spans="1:3">
      <c r="A63" s="17"/>
      <c r="B63" s="15"/>
      <c r="C63" s="17" t="s">
        <v>65</v>
      </c>
    </row>
    <row r="64" spans="1:3">
      <c r="A64" s="31"/>
      <c r="B64" s="15"/>
      <c r="C64" s="10"/>
    </row>
    <row r="65" spans="1:3">
      <c r="A65" s="17"/>
      <c r="B65" s="15"/>
      <c r="C65" s="17" t="s">
        <v>64</v>
      </c>
    </row>
    <row r="66" spans="1:3">
      <c r="A66" s="17"/>
      <c r="B66" s="15"/>
      <c r="C66" s="17" t="s">
        <v>65</v>
      </c>
    </row>
    <row r="67" spans="1:3">
      <c r="A67" s="17"/>
      <c r="B67" s="15"/>
      <c r="C67" s="17"/>
    </row>
    <row r="68" spans="1:3">
      <c r="A68" s="17"/>
      <c r="B68" s="24" t="s">
        <v>66</v>
      </c>
      <c r="C68" s="17"/>
    </row>
    <row r="69" spans="1:3">
      <c r="A69" s="17" t="s">
        <v>67</v>
      </c>
      <c r="B69" s="15"/>
      <c r="C69" s="17" t="s">
        <v>68</v>
      </c>
    </row>
    <row r="70" spans="1:3">
      <c r="A70" s="17"/>
      <c r="B70" s="15"/>
      <c r="C70" s="17" t="s">
        <v>69</v>
      </c>
    </row>
    <row r="71" spans="1:3">
      <c r="A71" s="17"/>
      <c r="B71" s="15"/>
      <c r="C71" s="17" t="s">
        <v>70</v>
      </c>
    </row>
    <row r="72" spans="1:3">
      <c r="A72" s="17"/>
      <c r="B72" s="15"/>
      <c r="C72" s="17"/>
    </row>
    <row r="73" spans="1:3">
      <c r="A73" s="17"/>
      <c r="B73" s="24" t="s">
        <v>71</v>
      </c>
      <c r="C73" s="17"/>
    </row>
    <row r="74" spans="1:3">
      <c r="A74" s="15" t="s">
        <v>37</v>
      </c>
      <c r="B74" s="15" t="s">
        <v>72</v>
      </c>
      <c r="C74" s="17" t="s">
        <v>57</v>
      </c>
    </row>
    <row r="75" spans="1:3">
      <c r="A75" s="15" t="s">
        <v>60</v>
      </c>
      <c r="B75" s="15"/>
      <c r="C75" s="17" t="s">
        <v>73</v>
      </c>
    </row>
    <row r="76" spans="1:3">
      <c r="A76" s="15" t="s">
        <v>11</v>
      </c>
      <c r="B76" s="15"/>
      <c r="C76" s="17"/>
    </row>
    <row r="77" spans="1:3">
      <c r="A77" s="17"/>
      <c r="B77" s="15"/>
      <c r="C77" s="17"/>
    </row>
    <row r="78" spans="1:3">
      <c r="A78" s="17"/>
      <c r="B78" s="24" t="s">
        <v>74</v>
      </c>
      <c r="C78" s="17"/>
    </row>
    <row r="79" spans="1:3">
      <c r="A79" s="15" t="s">
        <v>37</v>
      </c>
      <c r="B79" s="15" t="s">
        <v>75</v>
      </c>
      <c r="C79" s="17" t="s">
        <v>57</v>
      </c>
    </row>
    <row r="80" spans="1:3">
      <c r="A80" s="15" t="s">
        <v>76</v>
      </c>
      <c r="B80" s="15"/>
      <c r="C80" s="17" t="s">
        <v>73</v>
      </c>
    </row>
    <row r="81" spans="1:3">
      <c r="A81" s="15" t="s">
        <v>60</v>
      </c>
      <c r="B81" s="15"/>
      <c r="C81" s="17" t="s">
        <v>77</v>
      </c>
    </row>
    <row r="82" spans="1:3">
      <c r="A82" s="15" t="s">
        <v>11</v>
      </c>
      <c r="B82" s="15"/>
      <c r="C82" s="17" t="s">
        <v>78</v>
      </c>
    </row>
    <row r="83" spans="1:3">
      <c r="A83" s="17"/>
      <c r="B83" s="15"/>
      <c r="C83" s="17"/>
    </row>
    <row r="84" spans="1:3">
      <c r="A84" s="29"/>
      <c r="B84" s="33" t="s">
        <v>79</v>
      </c>
      <c r="C84" s="29"/>
    </row>
    <row r="85" spans="1:3">
      <c r="A85" s="29" t="s">
        <v>80</v>
      </c>
      <c r="B85" s="15" t="s">
        <v>81</v>
      </c>
      <c r="C85" s="29" t="s">
        <v>82</v>
      </c>
    </row>
    <row r="86" spans="1:3">
      <c r="A86" s="29" t="s">
        <v>37</v>
      </c>
      <c r="B86" s="15" t="s">
        <v>83</v>
      </c>
      <c r="C86" s="29" t="s">
        <v>57</v>
      </c>
    </row>
    <row r="87" spans="1:3">
      <c r="A87" s="29" t="s">
        <v>84</v>
      </c>
      <c r="B87" s="15"/>
      <c r="C87" s="29"/>
    </row>
    <row r="88" spans="1:3">
      <c r="A88" s="17"/>
      <c r="B88" s="15"/>
      <c r="C88" s="29"/>
    </row>
    <row r="89" spans="1:3">
      <c r="A89" s="51"/>
      <c r="B89" s="24" t="s">
        <v>85</v>
      </c>
      <c r="C89" s="51"/>
    </row>
    <row r="90" spans="1:3">
      <c r="A90" s="38" t="s">
        <v>86</v>
      </c>
      <c r="B90" s="52"/>
      <c r="C90" s="38" t="s">
        <v>87</v>
      </c>
    </row>
    <row r="91" spans="1:3">
      <c r="A91" s="38" t="s">
        <v>88</v>
      </c>
      <c r="B91" s="52"/>
      <c r="C91" s="38" t="s">
        <v>89</v>
      </c>
    </row>
    <row r="92" spans="1:3">
      <c r="A92" s="38" t="s">
        <v>90</v>
      </c>
      <c r="B92" s="52"/>
      <c r="C92" s="38" t="s">
        <v>91</v>
      </c>
    </row>
    <row r="93" spans="1:3">
      <c r="A93" s="17"/>
      <c r="B93" s="52"/>
      <c r="C93" s="38" t="s">
        <v>92</v>
      </c>
    </row>
    <row r="94" spans="1:3">
      <c r="A94" s="38" t="s">
        <v>37</v>
      </c>
      <c r="B94" s="52"/>
      <c r="C94" s="38" t="s">
        <v>93</v>
      </c>
    </row>
    <row r="95" spans="1:3">
      <c r="A95" s="38"/>
      <c r="B95" s="20" t="s">
        <v>94</v>
      </c>
      <c r="C95" s="38"/>
    </row>
    <row r="96" spans="1:3">
      <c r="A96" s="38" t="s">
        <v>95</v>
      </c>
      <c r="B96" s="52" t="s">
        <v>96</v>
      </c>
      <c r="C96" s="38" t="s">
        <v>97</v>
      </c>
    </row>
    <row r="97" spans="1:8">
      <c r="A97" s="38"/>
      <c r="B97" s="52" t="s">
        <v>98</v>
      </c>
      <c r="C97" s="38" t="s">
        <v>99</v>
      </c>
    </row>
    <row r="98" spans="1:8">
      <c r="A98" s="38"/>
      <c r="B98" s="52" t="s">
        <v>100</v>
      </c>
      <c r="C98" s="38"/>
    </row>
    <row r="99" spans="1:8">
      <c r="A99" s="38"/>
      <c r="B99" s="52"/>
      <c r="C99" s="53"/>
    </row>
    <row r="100" spans="1:8">
      <c r="A100" s="38"/>
      <c r="B100" s="52"/>
      <c r="C100" s="38"/>
    </row>
    <row r="101" spans="1:8">
      <c r="A101" s="54"/>
      <c r="B101" s="54"/>
      <c r="C101" s="55"/>
    </row>
    <row r="102" spans="1:8">
      <c r="A102" s="55"/>
      <c r="B102" s="56"/>
      <c r="C102" s="56"/>
    </row>
    <row r="103" spans="1:8">
      <c r="A103" s="29"/>
      <c r="B103" s="15"/>
      <c r="C103" s="29"/>
      <c r="D103" s="57"/>
      <c r="E103" s="57"/>
      <c r="F103" s="57"/>
      <c r="G103" s="57"/>
      <c r="H103" s="57"/>
    </row>
    <row r="104" spans="1:8" ht="49.15" customHeight="1">
      <c r="A104" s="58" t="s">
        <v>101</v>
      </c>
      <c r="B104" s="329" t="s">
        <v>102</v>
      </c>
      <c r="C104" s="59" t="s">
        <v>103</v>
      </c>
      <c r="D104" s="330"/>
      <c r="E104" s="331"/>
      <c r="F104" s="332"/>
      <c r="G104" s="332"/>
      <c r="H104" s="332"/>
    </row>
    <row r="105" spans="1:8">
      <c r="A105" s="59" t="s">
        <v>104</v>
      </c>
      <c r="B105" s="59" t="s">
        <v>105</v>
      </c>
      <c r="C105" s="59" t="s">
        <v>105</v>
      </c>
      <c r="D105" s="330"/>
      <c r="E105" s="333"/>
      <c r="F105" s="333"/>
      <c r="G105" s="333"/>
      <c r="H105" s="333"/>
    </row>
  </sheetData>
  <mergeCells count="2">
    <mergeCell ref="A2:C2"/>
    <mergeCell ref="A3:C3"/>
  </mergeCells>
  <phoneticPr fontId="2" type="noConversion"/>
  <pageMargins left="0.23622047244094491" right="0.23622047244094491" top="0.74803149606299213" bottom="0.74803149606299213" header="0.31496062992125984" footer="0.31496062992125984"/>
  <pageSetup paperSize="9" scale="84" fitToWidth="0" orientation="portrait" r:id="rId1"/>
  <headerFooter alignWithMargins="0"/>
  <rowBreaks count="2" manualBreakCount="2">
    <brk id="31" max="2" man="1"/>
    <brk id="67" max="2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96"/>
  <sheetViews>
    <sheetView topLeftCell="A2" zoomScale="70" zoomScaleNormal="70" zoomScaleSheetLayoutView="90" workbookViewId="0">
      <pane xSplit="2" ySplit="4" topLeftCell="C6" activePane="bottomRight" state="frozen"/>
      <selection pane="topRight" activeCell="B15" sqref="B15"/>
      <selection pane="bottomLeft" activeCell="B15" sqref="B15"/>
      <selection pane="bottomRight" activeCell="A2" sqref="A2:Z2"/>
    </sheetView>
  </sheetViews>
  <sheetFormatPr defaultColWidth="9.140625" defaultRowHeight="20.25"/>
  <cols>
    <col min="1" max="1" width="27.85546875" style="60" customWidth="1"/>
    <col min="2" max="2" width="23.7109375" style="60" customWidth="1"/>
    <col min="3" max="4" width="3.7109375" style="60" customWidth="1"/>
    <col min="5" max="5" width="4.140625" style="60" customWidth="1"/>
    <col min="6" max="6" width="6.85546875" style="60" customWidth="1"/>
    <col min="7" max="8" width="4.140625" style="60" customWidth="1"/>
    <col min="9" max="9" width="9.42578125" style="60" customWidth="1"/>
    <col min="10" max="10" width="4.42578125" style="60" customWidth="1"/>
    <col min="11" max="11" width="4.7109375" style="60" customWidth="1"/>
    <col min="12" max="16" width="2.7109375" style="60" customWidth="1"/>
    <col min="17" max="17" width="6" style="60" customWidth="1"/>
    <col min="18" max="18" width="3.5703125" style="60" customWidth="1"/>
    <col min="19" max="19" width="3.42578125" style="61" customWidth="1"/>
    <col min="20" max="20" width="3.28515625" style="61" customWidth="1"/>
    <col min="21" max="21" width="4.42578125" style="61" customWidth="1"/>
    <col min="22" max="22" width="6.42578125" style="61" customWidth="1"/>
    <col min="23" max="23" width="4.85546875" style="61" customWidth="1"/>
    <col min="24" max="24" width="4.5703125" style="61" customWidth="1"/>
    <col min="25" max="25" width="4.85546875" style="61" customWidth="1"/>
    <col min="26" max="26" width="23.7109375" style="61" customWidth="1"/>
    <col min="27" max="16384" width="9.140625" style="61"/>
  </cols>
  <sheetData>
    <row r="1" spans="1:27">
      <c r="Z1" s="62" t="s">
        <v>106</v>
      </c>
    </row>
    <row r="2" spans="1:27" ht="21" customHeight="1">
      <c r="A2" s="378" t="s">
        <v>107</v>
      </c>
      <c r="B2" s="378"/>
      <c r="C2" s="378"/>
      <c r="D2" s="378"/>
      <c r="E2" s="378"/>
      <c r="F2" s="378"/>
      <c r="G2" s="378"/>
      <c r="H2" s="378"/>
      <c r="I2" s="378"/>
      <c r="J2" s="378"/>
      <c r="K2" s="378"/>
      <c r="L2" s="378"/>
      <c r="M2" s="378"/>
      <c r="N2" s="378"/>
      <c r="O2" s="378"/>
      <c r="P2" s="378"/>
      <c r="Q2" s="378"/>
      <c r="R2" s="378"/>
      <c r="S2" s="378"/>
      <c r="T2" s="378"/>
      <c r="U2" s="378"/>
      <c r="V2" s="378"/>
      <c r="W2" s="378"/>
      <c r="X2" s="378"/>
      <c r="Y2" s="378"/>
      <c r="Z2" s="378"/>
    </row>
    <row r="3" spans="1:27" ht="28.5" customHeight="1">
      <c r="A3" s="379" t="s">
        <v>2</v>
      </c>
      <c r="B3" s="379"/>
      <c r="C3" s="379"/>
      <c r="D3" s="379"/>
      <c r="E3" s="379"/>
      <c r="F3" s="379"/>
      <c r="G3" s="379"/>
      <c r="H3" s="379"/>
      <c r="I3" s="379"/>
      <c r="J3" s="379"/>
      <c r="K3" s="379"/>
      <c r="L3" s="379"/>
      <c r="M3" s="379"/>
      <c r="N3" s="379"/>
      <c r="O3" s="379"/>
      <c r="P3" s="379"/>
      <c r="Q3" s="379"/>
      <c r="R3" s="379"/>
      <c r="S3" s="379"/>
      <c r="T3" s="379"/>
      <c r="U3" s="379"/>
      <c r="V3" s="379"/>
      <c r="W3" s="379"/>
      <c r="X3" s="379"/>
      <c r="Y3" s="379"/>
      <c r="Z3" s="379"/>
    </row>
    <row r="4" spans="1:27" ht="21" customHeight="1">
      <c r="A4" s="380" t="s">
        <v>108</v>
      </c>
      <c r="B4" s="380" t="s">
        <v>109</v>
      </c>
      <c r="C4" s="381" t="s">
        <v>110</v>
      </c>
      <c r="D4" s="381"/>
      <c r="E4" s="381"/>
      <c r="F4" s="381"/>
      <c r="G4" s="382" t="s">
        <v>111</v>
      </c>
      <c r="H4" s="382" t="s">
        <v>112</v>
      </c>
      <c r="I4" s="381" t="s">
        <v>113</v>
      </c>
      <c r="J4" s="383" t="s">
        <v>114</v>
      </c>
      <c r="K4" s="383"/>
      <c r="L4" s="384" t="s">
        <v>115</v>
      </c>
      <c r="M4" s="384"/>
      <c r="N4" s="384"/>
      <c r="O4" s="384"/>
      <c r="P4" s="384"/>
      <c r="Q4" s="391" t="s">
        <v>116</v>
      </c>
      <c r="R4" s="384" t="s">
        <v>117</v>
      </c>
      <c r="S4" s="384"/>
      <c r="T4" s="384"/>
      <c r="U4" s="391" t="s">
        <v>118</v>
      </c>
      <c r="V4" s="392" t="s">
        <v>119</v>
      </c>
      <c r="W4" s="65" t="s">
        <v>120</v>
      </c>
      <c r="X4" s="65"/>
      <c r="Y4" s="65"/>
      <c r="Z4" s="376" t="s">
        <v>121</v>
      </c>
    </row>
    <row r="5" spans="1:27" ht="39.6" customHeight="1">
      <c r="A5" s="380"/>
      <c r="B5" s="380"/>
      <c r="C5" s="67" t="s">
        <v>122</v>
      </c>
      <c r="D5" s="67" t="s">
        <v>123</v>
      </c>
      <c r="E5" s="67" t="s">
        <v>124</v>
      </c>
      <c r="F5" s="67" t="s">
        <v>125</v>
      </c>
      <c r="G5" s="382"/>
      <c r="H5" s="382"/>
      <c r="I5" s="381"/>
      <c r="J5" s="64" t="s">
        <v>126</v>
      </c>
      <c r="K5" s="66" t="s">
        <v>127</v>
      </c>
      <c r="L5" s="68" t="s">
        <v>128</v>
      </c>
      <c r="M5" s="68" t="s">
        <v>129</v>
      </c>
      <c r="N5" s="68" t="s">
        <v>130</v>
      </c>
      <c r="O5" s="68" t="s">
        <v>131</v>
      </c>
      <c r="P5" s="68" t="s">
        <v>132</v>
      </c>
      <c r="Q5" s="392"/>
      <c r="R5" s="63" t="s">
        <v>133</v>
      </c>
      <c r="S5" s="63" t="s">
        <v>134</v>
      </c>
      <c r="T5" s="63" t="s">
        <v>135</v>
      </c>
      <c r="U5" s="392"/>
      <c r="V5" s="392"/>
      <c r="W5" s="63" t="s">
        <v>136</v>
      </c>
      <c r="X5" s="63" t="s">
        <v>137</v>
      </c>
      <c r="Y5" s="63" t="s">
        <v>138</v>
      </c>
      <c r="Z5" s="376"/>
    </row>
    <row r="6" spans="1:27" ht="63.75" customHeight="1">
      <c r="A6" s="69" t="s">
        <v>6</v>
      </c>
      <c r="B6" s="70" t="s">
        <v>7</v>
      </c>
      <c r="C6" s="71"/>
      <c r="D6" s="71"/>
      <c r="E6" s="71"/>
      <c r="F6" s="1" t="s">
        <v>139</v>
      </c>
      <c r="G6" s="1" t="s">
        <v>139</v>
      </c>
      <c r="H6" s="216"/>
      <c r="I6" s="72" t="s">
        <v>127</v>
      </c>
      <c r="J6" s="72"/>
      <c r="K6" s="1" t="s">
        <v>139</v>
      </c>
      <c r="L6" s="73">
        <v>1</v>
      </c>
      <c r="M6" s="72">
        <v>1</v>
      </c>
      <c r="N6" s="72">
        <v>1</v>
      </c>
      <c r="O6" s="73">
        <v>3</v>
      </c>
      <c r="P6" s="73"/>
      <c r="Q6" s="74">
        <f>SUM(L6:P6)</f>
        <v>6</v>
      </c>
      <c r="R6" s="72">
        <v>1</v>
      </c>
      <c r="S6" s="75">
        <v>3</v>
      </c>
      <c r="T6" s="75">
        <v>2</v>
      </c>
      <c r="U6" s="75">
        <f>SUM(R6:T6)</f>
        <v>6</v>
      </c>
      <c r="V6" s="75">
        <f>Q6*U6</f>
        <v>36</v>
      </c>
      <c r="W6" s="1" t="s">
        <v>139</v>
      </c>
      <c r="X6" s="75"/>
      <c r="Y6" s="75"/>
      <c r="Z6" s="12" t="s">
        <v>140</v>
      </c>
    </row>
    <row r="7" spans="1:27">
      <c r="A7" s="50"/>
      <c r="B7" s="70" t="s">
        <v>9</v>
      </c>
      <c r="C7" s="74"/>
      <c r="D7" s="74"/>
      <c r="E7" s="74"/>
      <c r="F7" s="1" t="s">
        <v>139</v>
      </c>
      <c r="G7" s="335" t="s">
        <v>139</v>
      </c>
      <c r="H7" s="216"/>
      <c r="I7" s="72" t="s">
        <v>127</v>
      </c>
      <c r="J7" s="1" t="s">
        <v>139</v>
      </c>
      <c r="K7" s="1" t="s">
        <v>139</v>
      </c>
      <c r="L7" s="74">
        <v>1</v>
      </c>
      <c r="M7" s="73">
        <v>2</v>
      </c>
      <c r="N7" s="73">
        <v>1</v>
      </c>
      <c r="O7" s="73">
        <v>3</v>
      </c>
      <c r="P7" s="73"/>
      <c r="Q7" s="74">
        <f>SUM(L7:P7)</f>
        <v>7</v>
      </c>
      <c r="R7" s="72">
        <v>1</v>
      </c>
      <c r="S7" s="75">
        <v>3</v>
      </c>
      <c r="T7" s="75">
        <v>3</v>
      </c>
      <c r="U7" s="75">
        <f>SUM(R7:T7)</f>
        <v>7</v>
      </c>
      <c r="V7" s="75">
        <f>Q7*U7</f>
        <v>49</v>
      </c>
      <c r="W7" s="75"/>
      <c r="X7" s="1" t="s">
        <v>139</v>
      </c>
      <c r="Y7" s="75"/>
      <c r="Z7" s="12" t="s">
        <v>141</v>
      </c>
      <c r="AA7" s="377"/>
    </row>
    <row r="8" spans="1:27">
      <c r="A8" s="50"/>
      <c r="B8" s="79" t="s">
        <v>11</v>
      </c>
      <c r="C8" s="1" t="s">
        <v>139</v>
      </c>
      <c r="D8" s="25"/>
      <c r="E8" s="25"/>
      <c r="F8" s="76"/>
      <c r="G8" s="335" t="s">
        <v>139</v>
      </c>
      <c r="H8" s="165"/>
      <c r="I8" s="72" t="s">
        <v>127</v>
      </c>
      <c r="J8" s="1" t="s">
        <v>139</v>
      </c>
      <c r="K8" s="76"/>
      <c r="L8" s="72">
        <v>1</v>
      </c>
      <c r="M8" s="72">
        <v>1</v>
      </c>
      <c r="N8" s="72">
        <v>1</v>
      </c>
      <c r="O8" s="75">
        <v>3</v>
      </c>
      <c r="P8" s="74"/>
      <c r="Q8" s="74">
        <f>SUM(L8:P8)</f>
        <v>6</v>
      </c>
      <c r="R8" s="72">
        <v>1</v>
      </c>
      <c r="S8" s="75">
        <v>3</v>
      </c>
      <c r="T8" s="75">
        <v>3</v>
      </c>
      <c r="U8" s="75">
        <f>SUM(R8:T8)</f>
        <v>7</v>
      </c>
      <c r="V8" s="75">
        <f>Q8*U8</f>
        <v>42</v>
      </c>
      <c r="W8" s="75"/>
      <c r="X8" s="1" t="s">
        <v>139</v>
      </c>
      <c r="Y8" s="75"/>
      <c r="Z8" s="12" t="s">
        <v>142</v>
      </c>
      <c r="AA8" s="377"/>
    </row>
    <row r="9" spans="1:27">
      <c r="A9" s="77" t="s">
        <v>16</v>
      </c>
      <c r="B9" s="70" t="s">
        <v>7</v>
      </c>
      <c r="C9" s="71"/>
      <c r="D9" s="71"/>
      <c r="E9" s="71"/>
      <c r="F9" s="1" t="s">
        <v>139</v>
      </c>
      <c r="G9" s="335" t="s">
        <v>139</v>
      </c>
      <c r="H9" s="216"/>
      <c r="I9" s="72" t="s">
        <v>127</v>
      </c>
      <c r="J9" s="72"/>
      <c r="K9" s="1" t="s">
        <v>139</v>
      </c>
      <c r="L9" s="73">
        <v>1</v>
      </c>
      <c r="M9" s="72">
        <v>1</v>
      </c>
      <c r="N9" s="72">
        <v>1</v>
      </c>
      <c r="O9" s="73">
        <v>3</v>
      </c>
      <c r="P9" s="73"/>
      <c r="Q9" s="74">
        <f t="shared" ref="Q9:Q22" si="0">SUM(L9:P9)</f>
        <v>6</v>
      </c>
      <c r="R9" s="72">
        <v>1</v>
      </c>
      <c r="S9" s="75">
        <v>3</v>
      </c>
      <c r="T9" s="75">
        <v>2</v>
      </c>
      <c r="U9" s="75">
        <f t="shared" ref="U9:U22" si="1">SUM(R9:T9)</f>
        <v>6</v>
      </c>
      <c r="V9" s="75">
        <f t="shared" ref="V9:V22" si="2">Q9*U9</f>
        <v>36</v>
      </c>
      <c r="W9" s="1" t="s">
        <v>139</v>
      </c>
      <c r="X9" s="75"/>
      <c r="Y9" s="75"/>
      <c r="Z9" s="12" t="s">
        <v>141</v>
      </c>
    </row>
    <row r="10" spans="1:27">
      <c r="A10" s="10"/>
      <c r="B10" s="79" t="s">
        <v>11</v>
      </c>
      <c r="C10" s="1" t="s">
        <v>139</v>
      </c>
      <c r="D10" s="25"/>
      <c r="E10" s="25"/>
      <c r="F10" s="76"/>
      <c r="G10" s="335" t="s">
        <v>139</v>
      </c>
      <c r="H10" s="165"/>
      <c r="I10" s="72" t="s">
        <v>127</v>
      </c>
      <c r="J10" s="1" t="s">
        <v>139</v>
      </c>
      <c r="K10" s="76"/>
      <c r="L10" s="72">
        <v>1</v>
      </c>
      <c r="M10" s="72">
        <v>1</v>
      </c>
      <c r="N10" s="72">
        <v>1</v>
      </c>
      <c r="O10" s="75">
        <v>3</v>
      </c>
      <c r="P10" s="74"/>
      <c r="Q10" s="74">
        <f t="shared" si="0"/>
        <v>6</v>
      </c>
      <c r="R10" s="72">
        <v>1</v>
      </c>
      <c r="S10" s="75">
        <v>3</v>
      </c>
      <c r="T10" s="75">
        <v>3</v>
      </c>
      <c r="U10" s="75">
        <f t="shared" si="1"/>
        <v>7</v>
      </c>
      <c r="V10" s="75">
        <f t="shared" si="2"/>
        <v>42</v>
      </c>
      <c r="W10" s="75"/>
      <c r="X10" s="1" t="s">
        <v>139</v>
      </c>
      <c r="Y10" s="75"/>
      <c r="Z10" s="12" t="s">
        <v>142</v>
      </c>
    </row>
    <row r="11" spans="1:27">
      <c r="A11" s="78" t="s">
        <v>20</v>
      </c>
      <c r="B11" s="79" t="s">
        <v>7</v>
      </c>
      <c r="C11" s="71"/>
      <c r="D11" s="71"/>
      <c r="E11" s="71"/>
      <c r="F11" s="1" t="s">
        <v>139</v>
      </c>
      <c r="G11" s="335" t="s">
        <v>139</v>
      </c>
      <c r="H11" s="216"/>
      <c r="I11" s="72" t="s">
        <v>127</v>
      </c>
      <c r="J11" s="72"/>
      <c r="K11" s="1" t="s">
        <v>139</v>
      </c>
      <c r="L11" s="73">
        <v>1</v>
      </c>
      <c r="M11" s="72">
        <v>1</v>
      </c>
      <c r="N11" s="72">
        <v>1</v>
      </c>
      <c r="O11" s="73">
        <v>3</v>
      </c>
      <c r="P11" s="73"/>
      <c r="Q11" s="74">
        <f t="shared" si="0"/>
        <v>6</v>
      </c>
      <c r="R11" s="72">
        <v>1</v>
      </c>
      <c r="S11" s="75">
        <v>3</v>
      </c>
      <c r="T11" s="75">
        <v>2</v>
      </c>
      <c r="U11" s="75">
        <f t="shared" si="1"/>
        <v>6</v>
      </c>
      <c r="V11" s="75">
        <f t="shared" si="2"/>
        <v>36</v>
      </c>
      <c r="W11" s="1" t="s">
        <v>139</v>
      </c>
      <c r="X11" s="75"/>
      <c r="Y11" s="75"/>
      <c r="Z11" s="12" t="s">
        <v>141</v>
      </c>
    </row>
    <row r="12" spans="1:27">
      <c r="A12" s="80"/>
      <c r="B12" s="79" t="s">
        <v>22</v>
      </c>
      <c r="C12" s="72"/>
      <c r="D12" s="72"/>
      <c r="E12" s="72"/>
      <c r="F12" s="1" t="s">
        <v>139</v>
      </c>
      <c r="G12" s="335" t="s">
        <v>139</v>
      </c>
      <c r="H12" s="216"/>
      <c r="I12" s="72" t="s">
        <v>127</v>
      </c>
      <c r="J12" s="74"/>
      <c r="K12" s="1" t="s">
        <v>139</v>
      </c>
      <c r="L12" s="81">
        <v>1</v>
      </c>
      <c r="M12" s="73">
        <v>1</v>
      </c>
      <c r="N12" s="73">
        <v>3</v>
      </c>
      <c r="O12" s="73">
        <v>3</v>
      </c>
      <c r="P12" s="72"/>
      <c r="Q12" s="72">
        <f t="shared" si="0"/>
        <v>8</v>
      </c>
      <c r="R12" s="82" t="s">
        <v>143</v>
      </c>
      <c r="S12" s="75">
        <v>3</v>
      </c>
      <c r="T12" s="75">
        <v>3</v>
      </c>
      <c r="U12" s="75">
        <f t="shared" si="1"/>
        <v>6</v>
      </c>
      <c r="V12" s="75">
        <f t="shared" si="2"/>
        <v>48</v>
      </c>
      <c r="W12" s="76"/>
      <c r="X12" s="1" t="s">
        <v>139</v>
      </c>
      <c r="Y12" s="12"/>
      <c r="Z12" s="12" t="s">
        <v>141</v>
      </c>
    </row>
    <row r="13" spans="1:27">
      <c r="A13" s="50" t="s">
        <v>24</v>
      </c>
      <c r="B13" s="79" t="s">
        <v>7</v>
      </c>
      <c r="C13" s="71"/>
      <c r="D13" s="71"/>
      <c r="E13" s="71"/>
      <c r="F13" s="1" t="s">
        <v>139</v>
      </c>
      <c r="G13" s="335" t="s">
        <v>139</v>
      </c>
      <c r="H13" s="216"/>
      <c r="I13" s="72" t="s">
        <v>127</v>
      </c>
      <c r="J13" s="72"/>
      <c r="K13" s="1" t="s">
        <v>139</v>
      </c>
      <c r="L13" s="73">
        <v>1</v>
      </c>
      <c r="M13" s="72">
        <v>1</v>
      </c>
      <c r="N13" s="72">
        <v>1</v>
      </c>
      <c r="O13" s="73">
        <v>3</v>
      </c>
      <c r="P13" s="73"/>
      <c r="Q13" s="74">
        <f t="shared" si="0"/>
        <v>6</v>
      </c>
      <c r="R13" s="72">
        <v>1</v>
      </c>
      <c r="S13" s="75">
        <v>3</v>
      </c>
      <c r="T13" s="75">
        <v>2</v>
      </c>
      <c r="U13" s="75">
        <f t="shared" si="1"/>
        <v>6</v>
      </c>
      <c r="V13" s="75">
        <f t="shared" si="2"/>
        <v>36</v>
      </c>
      <c r="W13" s="1" t="s">
        <v>139</v>
      </c>
      <c r="X13" s="75"/>
      <c r="Y13" s="75"/>
      <c r="Z13" s="12" t="s">
        <v>141</v>
      </c>
    </row>
    <row r="14" spans="1:27">
      <c r="A14" s="50"/>
      <c r="B14" s="70" t="s">
        <v>22</v>
      </c>
      <c r="C14" s="72"/>
      <c r="D14" s="72"/>
      <c r="E14" s="72"/>
      <c r="F14" s="1" t="s">
        <v>139</v>
      </c>
      <c r="G14" s="335" t="s">
        <v>139</v>
      </c>
      <c r="H14" s="216"/>
      <c r="I14" s="72" t="s">
        <v>127</v>
      </c>
      <c r="J14" s="74"/>
      <c r="K14" s="1" t="s">
        <v>139</v>
      </c>
      <c r="L14" s="81">
        <v>1</v>
      </c>
      <c r="M14" s="73">
        <v>1</v>
      </c>
      <c r="N14" s="73">
        <v>3</v>
      </c>
      <c r="O14" s="73">
        <v>3</v>
      </c>
      <c r="P14" s="72"/>
      <c r="Q14" s="72">
        <f t="shared" si="0"/>
        <v>8</v>
      </c>
      <c r="R14" s="82" t="s">
        <v>143</v>
      </c>
      <c r="S14" s="75">
        <v>3</v>
      </c>
      <c r="T14" s="75">
        <v>3</v>
      </c>
      <c r="U14" s="75">
        <f t="shared" si="1"/>
        <v>6</v>
      </c>
      <c r="V14" s="75">
        <f t="shared" si="2"/>
        <v>48</v>
      </c>
      <c r="W14" s="76"/>
      <c r="X14" s="1" t="s">
        <v>139</v>
      </c>
      <c r="Y14" s="12"/>
      <c r="Z14" s="12" t="s">
        <v>141</v>
      </c>
    </row>
    <row r="15" spans="1:27">
      <c r="A15" s="80"/>
      <c r="B15" s="70" t="s">
        <v>26</v>
      </c>
      <c r="C15" s="72"/>
      <c r="D15" s="72"/>
      <c r="E15" s="72"/>
      <c r="F15" s="1" t="s">
        <v>139</v>
      </c>
      <c r="G15" s="335" t="s">
        <v>139</v>
      </c>
      <c r="H15" s="216"/>
      <c r="I15" s="72" t="s">
        <v>127</v>
      </c>
      <c r="J15" s="74"/>
      <c r="K15" s="1" t="s">
        <v>139</v>
      </c>
      <c r="L15" s="72">
        <v>1</v>
      </c>
      <c r="M15" s="72">
        <v>1</v>
      </c>
      <c r="N15" s="72">
        <v>3</v>
      </c>
      <c r="O15" s="72">
        <v>3</v>
      </c>
      <c r="P15" s="72"/>
      <c r="Q15" s="72">
        <f t="shared" si="0"/>
        <v>8</v>
      </c>
      <c r="R15" s="25">
        <v>1</v>
      </c>
      <c r="S15" s="12">
        <v>3</v>
      </c>
      <c r="T15" s="12">
        <v>3</v>
      </c>
      <c r="U15" s="75">
        <f t="shared" si="1"/>
        <v>7</v>
      </c>
      <c r="V15" s="75">
        <f t="shared" si="2"/>
        <v>56</v>
      </c>
      <c r="W15" s="76"/>
      <c r="X15" s="1" t="s">
        <v>139</v>
      </c>
      <c r="Y15" s="12"/>
      <c r="Z15" s="12" t="s">
        <v>144</v>
      </c>
    </row>
    <row r="16" spans="1:27">
      <c r="A16" s="80"/>
      <c r="B16" s="70" t="s">
        <v>11</v>
      </c>
      <c r="C16" s="1" t="s">
        <v>139</v>
      </c>
      <c r="D16" s="25"/>
      <c r="E16" s="25"/>
      <c r="F16" s="76"/>
      <c r="G16" s="335" t="s">
        <v>139</v>
      </c>
      <c r="H16" s="165"/>
      <c r="I16" s="72" t="s">
        <v>127</v>
      </c>
      <c r="J16" s="1" t="s">
        <v>139</v>
      </c>
      <c r="K16" s="76"/>
      <c r="L16" s="72">
        <v>1</v>
      </c>
      <c r="M16" s="72">
        <v>1</v>
      </c>
      <c r="N16" s="72">
        <v>1</v>
      </c>
      <c r="O16" s="75">
        <v>3</v>
      </c>
      <c r="P16" s="74"/>
      <c r="Q16" s="74">
        <f t="shared" si="0"/>
        <v>6</v>
      </c>
      <c r="R16" s="72">
        <v>1</v>
      </c>
      <c r="S16" s="75">
        <v>3</v>
      </c>
      <c r="T16" s="75">
        <v>3</v>
      </c>
      <c r="U16" s="75">
        <f t="shared" si="1"/>
        <v>7</v>
      </c>
      <c r="V16" s="75">
        <f t="shared" si="2"/>
        <v>42</v>
      </c>
      <c r="W16" s="75"/>
      <c r="X16" s="1" t="s">
        <v>139</v>
      </c>
      <c r="Y16" s="75"/>
      <c r="Z16" s="12" t="s">
        <v>142</v>
      </c>
    </row>
    <row r="17" spans="1:26">
      <c r="A17" s="50" t="s">
        <v>30</v>
      </c>
      <c r="B17" s="79" t="s">
        <v>7</v>
      </c>
      <c r="C17" s="71"/>
      <c r="D17" s="71"/>
      <c r="E17" s="71"/>
      <c r="F17" s="1" t="s">
        <v>139</v>
      </c>
      <c r="G17" s="334"/>
      <c r="H17" s="335" t="s">
        <v>139</v>
      </c>
      <c r="I17" s="72" t="s">
        <v>127</v>
      </c>
      <c r="J17" s="72"/>
      <c r="K17" s="1" t="s">
        <v>139</v>
      </c>
      <c r="L17" s="73">
        <v>1</v>
      </c>
      <c r="M17" s="72">
        <v>1</v>
      </c>
      <c r="N17" s="72">
        <v>1</v>
      </c>
      <c r="O17" s="73">
        <v>3</v>
      </c>
      <c r="P17" s="73"/>
      <c r="Q17" s="74">
        <f t="shared" si="0"/>
        <v>6</v>
      </c>
      <c r="R17" s="72">
        <v>1</v>
      </c>
      <c r="S17" s="75">
        <v>3</v>
      </c>
      <c r="T17" s="75">
        <v>2</v>
      </c>
      <c r="U17" s="75">
        <f t="shared" si="1"/>
        <v>6</v>
      </c>
      <c r="V17" s="75">
        <f t="shared" si="2"/>
        <v>36</v>
      </c>
      <c r="W17" s="1" t="s">
        <v>139</v>
      </c>
      <c r="X17" s="75"/>
      <c r="Y17" s="75"/>
      <c r="Z17" s="12" t="s">
        <v>141</v>
      </c>
    </row>
    <row r="18" spans="1:26">
      <c r="A18" s="50" t="s">
        <v>145</v>
      </c>
      <c r="B18" s="70" t="s">
        <v>22</v>
      </c>
      <c r="C18" s="72"/>
      <c r="D18" s="72"/>
      <c r="E18" s="72"/>
      <c r="F18" s="1" t="s">
        <v>139</v>
      </c>
      <c r="G18" s="334"/>
      <c r="H18" s="335" t="s">
        <v>139</v>
      </c>
      <c r="I18" s="72" t="s">
        <v>127</v>
      </c>
      <c r="J18" s="74"/>
      <c r="K18" s="1" t="s">
        <v>139</v>
      </c>
      <c r="L18" s="25">
        <v>1</v>
      </c>
      <c r="M18" s="72">
        <v>1</v>
      </c>
      <c r="N18" s="72">
        <v>3</v>
      </c>
      <c r="O18" s="72">
        <v>3</v>
      </c>
      <c r="P18" s="72"/>
      <c r="Q18" s="72">
        <f t="shared" si="0"/>
        <v>8</v>
      </c>
      <c r="R18" s="82" t="s">
        <v>143</v>
      </c>
      <c r="S18" s="75">
        <v>3</v>
      </c>
      <c r="T18" s="75">
        <v>3</v>
      </c>
      <c r="U18" s="75">
        <f t="shared" si="1"/>
        <v>6</v>
      </c>
      <c r="V18" s="75">
        <f t="shared" si="2"/>
        <v>48</v>
      </c>
      <c r="W18" s="76"/>
      <c r="X18" s="1" t="s">
        <v>139</v>
      </c>
      <c r="Y18" s="12"/>
      <c r="Z18" s="12" t="s">
        <v>141</v>
      </c>
    </row>
    <row r="19" spans="1:26">
      <c r="A19" s="80"/>
      <c r="B19" s="70" t="s">
        <v>26</v>
      </c>
      <c r="C19" s="76"/>
      <c r="D19" s="74"/>
      <c r="E19" s="74"/>
      <c r="F19" s="1" t="s">
        <v>139</v>
      </c>
      <c r="G19" s="334"/>
      <c r="H19" s="335" t="s">
        <v>139</v>
      </c>
      <c r="I19" s="72" t="s">
        <v>127</v>
      </c>
      <c r="J19" s="83"/>
      <c r="K19" s="1" t="s">
        <v>139</v>
      </c>
      <c r="L19" s="25">
        <v>1</v>
      </c>
      <c r="M19" s="25">
        <v>1</v>
      </c>
      <c r="N19" s="25">
        <v>3</v>
      </c>
      <c r="O19" s="25">
        <v>2</v>
      </c>
      <c r="P19" s="72"/>
      <c r="Q19" s="72">
        <f t="shared" si="0"/>
        <v>7</v>
      </c>
      <c r="R19" s="25">
        <v>1</v>
      </c>
      <c r="S19" s="12">
        <v>3</v>
      </c>
      <c r="T19" s="12">
        <v>3</v>
      </c>
      <c r="U19" s="75">
        <f t="shared" si="1"/>
        <v>7</v>
      </c>
      <c r="V19" s="75">
        <f t="shared" si="2"/>
        <v>49</v>
      </c>
      <c r="W19" s="76"/>
      <c r="X19" s="1" t="s">
        <v>139</v>
      </c>
      <c r="Y19" s="12"/>
      <c r="Z19" s="12" t="s">
        <v>144</v>
      </c>
    </row>
    <row r="20" spans="1:26">
      <c r="A20" s="80"/>
      <c r="B20" s="70" t="s">
        <v>11</v>
      </c>
      <c r="C20" s="1" t="s">
        <v>139</v>
      </c>
      <c r="D20" s="25"/>
      <c r="E20" s="25"/>
      <c r="F20" s="76"/>
      <c r="G20" s="334"/>
      <c r="H20" s="335" t="s">
        <v>139</v>
      </c>
      <c r="I20" s="72" t="s">
        <v>127</v>
      </c>
      <c r="J20" s="1" t="s">
        <v>139</v>
      </c>
      <c r="K20" s="76"/>
      <c r="L20" s="72">
        <v>1</v>
      </c>
      <c r="M20" s="72">
        <v>1</v>
      </c>
      <c r="N20" s="72">
        <v>1</v>
      </c>
      <c r="O20" s="75">
        <v>3</v>
      </c>
      <c r="P20" s="74"/>
      <c r="Q20" s="74">
        <f t="shared" si="0"/>
        <v>6</v>
      </c>
      <c r="R20" s="72">
        <v>1</v>
      </c>
      <c r="S20" s="75">
        <v>3</v>
      </c>
      <c r="T20" s="75">
        <v>3</v>
      </c>
      <c r="U20" s="75">
        <f t="shared" si="1"/>
        <v>7</v>
      </c>
      <c r="V20" s="75">
        <f t="shared" si="2"/>
        <v>42</v>
      </c>
      <c r="W20" s="75"/>
      <c r="X20" s="1" t="s">
        <v>139</v>
      </c>
      <c r="Y20" s="75"/>
      <c r="Z20" s="12" t="s">
        <v>142</v>
      </c>
    </row>
    <row r="21" spans="1:26">
      <c r="A21" s="77" t="s">
        <v>31</v>
      </c>
      <c r="B21" s="70" t="s">
        <v>7</v>
      </c>
      <c r="C21" s="71"/>
      <c r="D21" s="71"/>
      <c r="E21" s="71"/>
      <c r="F21" s="1" t="s">
        <v>139</v>
      </c>
      <c r="G21" s="335" t="s">
        <v>139</v>
      </c>
      <c r="H21" s="334"/>
      <c r="I21" s="72" t="s">
        <v>127</v>
      </c>
      <c r="J21" s="72"/>
      <c r="K21" s="1" t="s">
        <v>139</v>
      </c>
      <c r="L21" s="72">
        <v>1</v>
      </c>
      <c r="M21" s="72">
        <v>1</v>
      </c>
      <c r="N21" s="72">
        <v>1</v>
      </c>
      <c r="O21" s="72">
        <v>3</v>
      </c>
      <c r="P21" s="73"/>
      <c r="Q21" s="74">
        <f t="shared" si="0"/>
        <v>6</v>
      </c>
      <c r="R21" s="72">
        <v>1</v>
      </c>
      <c r="S21" s="75">
        <v>3</v>
      </c>
      <c r="T21" s="75">
        <v>2</v>
      </c>
      <c r="U21" s="75">
        <f t="shared" si="1"/>
        <v>6</v>
      </c>
      <c r="V21" s="75">
        <f t="shared" si="2"/>
        <v>36</v>
      </c>
      <c r="W21" s="1" t="s">
        <v>139</v>
      </c>
      <c r="X21" s="12"/>
      <c r="Y21" s="12"/>
      <c r="Z21" s="12" t="s">
        <v>141</v>
      </c>
    </row>
    <row r="22" spans="1:26">
      <c r="A22" s="77" t="s">
        <v>32</v>
      </c>
      <c r="B22" s="70" t="s">
        <v>33</v>
      </c>
      <c r="C22" s="74"/>
      <c r="D22" s="74"/>
      <c r="E22" s="74"/>
      <c r="F22" s="1" t="s">
        <v>139</v>
      </c>
      <c r="G22" s="335" t="s">
        <v>139</v>
      </c>
      <c r="H22" s="216"/>
      <c r="I22" s="72" t="s">
        <v>127</v>
      </c>
      <c r="J22" s="74"/>
      <c r="K22" s="1" t="s">
        <v>139</v>
      </c>
      <c r="L22" s="25">
        <v>1</v>
      </c>
      <c r="M22" s="25">
        <v>2</v>
      </c>
      <c r="N22" s="25">
        <v>1</v>
      </c>
      <c r="O22" s="25">
        <v>2</v>
      </c>
      <c r="P22" s="72"/>
      <c r="Q22" s="72">
        <f t="shared" si="0"/>
        <v>6</v>
      </c>
      <c r="R22" s="25">
        <v>1</v>
      </c>
      <c r="S22" s="12">
        <v>2</v>
      </c>
      <c r="T22" s="12">
        <v>2</v>
      </c>
      <c r="U22" s="75">
        <f t="shared" si="1"/>
        <v>5</v>
      </c>
      <c r="V22" s="75">
        <f t="shared" si="2"/>
        <v>30</v>
      </c>
      <c r="W22" s="1" t="s">
        <v>139</v>
      </c>
      <c r="X22" s="12"/>
      <c r="Y22" s="12"/>
      <c r="Z22" s="12" t="s">
        <v>141</v>
      </c>
    </row>
    <row r="23" spans="1:26">
      <c r="A23" s="77" t="s">
        <v>36</v>
      </c>
      <c r="B23" s="70" t="s">
        <v>37</v>
      </c>
      <c r="C23" s="74"/>
      <c r="D23" s="1" t="s">
        <v>139</v>
      </c>
      <c r="E23" s="74"/>
      <c r="F23" s="74"/>
      <c r="G23" s="334"/>
      <c r="H23" s="335" t="s">
        <v>139</v>
      </c>
      <c r="I23" s="72" t="s">
        <v>127</v>
      </c>
      <c r="J23" s="1" t="s">
        <v>139</v>
      </c>
      <c r="K23" s="72"/>
      <c r="L23" s="72">
        <v>2</v>
      </c>
      <c r="M23" s="72">
        <v>1</v>
      </c>
      <c r="N23" s="72">
        <v>1</v>
      </c>
      <c r="O23" s="74">
        <v>3</v>
      </c>
      <c r="P23" s="72">
        <v>1</v>
      </c>
      <c r="Q23" s="72">
        <f t="shared" ref="Q23:Q28" si="3">SUM(L23:P23)</f>
        <v>8</v>
      </c>
      <c r="R23" s="72">
        <v>1</v>
      </c>
      <c r="S23" s="75">
        <v>3</v>
      </c>
      <c r="T23" s="75">
        <v>2</v>
      </c>
      <c r="U23" s="75">
        <f t="shared" ref="U23:U28" si="4">SUM(R23:T23)</f>
        <v>6</v>
      </c>
      <c r="V23" s="75">
        <f t="shared" ref="V23:V28" si="5">Q23*U23</f>
        <v>48</v>
      </c>
      <c r="W23" s="76"/>
      <c r="X23" s="1" t="s">
        <v>139</v>
      </c>
      <c r="Y23" s="12"/>
      <c r="Z23" s="12" t="s">
        <v>146</v>
      </c>
    </row>
    <row r="24" spans="1:26" s="85" customFormat="1" ht="54">
      <c r="A24" s="72"/>
      <c r="B24" s="84" t="s">
        <v>39</v>
      </c>
      <c r="C24" s="74"/>
      <c r="D24" s="72"/>
      <c r="E24" s="74"/>
      <c r="F24" s="1" t="s">
        <v>139</v>
      </c>
      <c r="G24" s="334"/>
      <c r="H24" s="335" t="s">
        <v>139</v>
      </c>
      <c r="I24" s="72" t="s">
        <v>127</v>
      </c>
      <c r="J24" s="76"/>
      <c r="K24" s="1" t="s">
        <v>139</v>
      </c>
      <c r="L24" s="72">
        <v>1</v>
      </c>
      <c r="M24" s="72">
        <v>1</v>
      </c>
      <c r="N24" s="72">
        <v>1</v>
      </c>
      <c r="O24" s="74">
        <v>3</v>
      </c>
      <c r="P24" s="72">
        <v>1</v>
      </c>
      <c r="Q24" s="72">
        <f t="shared" si="3"/>
        <v>7</v>
      </c>
      <c r="R24" s="72">
        <v>1</v>
      </c>
      <c r="S24" s="75">
        <v>3</v>
      </c>
      <c r="T24" s="75">
        <v>3</v>
      </c>
      <c r="U24" s="75">
        <f t="shared" si="4"/>
        <v>7</v>
      </c>
      <c r="V24" s="75">
        <f t="shared" si="5"/>
        <v>49</v>
      </c>
      <c r="W24" s="72"/>
      <c r="X24" s="1" t="s">
        <v>139</v>
      </c>
      <c r="Y24" s="75"/>
      <c r="Z24" s="12" t="s">
        <v>141</v>
      </c>
    </row>
    <row r="25" spans="1:26" s="86" customFormat="1" ht="72">
      <c r="A25" s="80"/>
      <c r="B25" s="84" t="s">
        <v>41</v>
      </c>
      <c r="C25" s="74"/>
      <c r="D25" s="74"/>
      <c r="E25" s="74"/>
      <c r="F25" s="1" t="s">
        <v>139</v>
      </c>
      <c r="G25" s="334"/>
      <c r="H25" s="335" t="s">
        <v>139</v>
      </c>
      <c r="I25" s="72" t="s">
        <v>127</v>
      </c>
      <c r="J25" s="72"/>
      <c r="K25" s="1" t="s">
        <v>139</v>
      </c>
      <c r="L25" s="72">
        <v>1</v>
      </c>
      <c r="M25" s="72">
        <v>1</v>
      </c>
      <c r="N25" s="72">
        <v>1</v>
      </c>
      <c r="O25" s="74">
        <v>3</v>
      </c>
      <c r="P25" s="72">
        <v>1</v>
      </c>
      <c r="Q25" s="72">
        <f t="shared" si="3"/>
        <v>7</v>
      </c>
      <c r="R25" s="72">
        <v>1</v>
      </c>
      <c r="S25" s="75">
        <v>3</v>
      </c>
      <c r="T25" s="75">
        <v>3</v>
      </c>
      <c r="U25" s="75">
        <f t="shared" si="4"/>
        <v>7</v>
      </c>
      <c r="V25" s="75">
        <f t="shared" si="5"/>
        <v>49</v>
      </c>
      <c r="W25" s="76"/>
      <c r="X25" s="1" t="s">
        <v>139</v>
      </c>
      <c r="Y25" s="12"/>
      <c r="Z25" s="12" t="s">
        <v>141</v>
      </c>
    </row>
    <row r="26" spans="1:26">
      <c r="A26" s="80"/>
      <c r="B26" s="70" t="s">
        <v>11</v>
      </c>
      <c r="C26" s="1" t="s">
        <v>139</v>
      </c>
      <c r="D26" s="25"/>
      <c r="E26" s="25"/>
      <c r="F26" s="76"/>
      <c r="G26" s="334"/>
      <c r="H26" s="335" t="s">
        <v>139</v>
      </c>
      <c r="I26" s="72" t="s">
        <v>127</v>
      </c>
      <c r="J26" s="1" t="s">
        <v>139</v>
      </c>
      <c r="K26" s="76"/>
      <c r="L26" s="72">
        <v>1</v>
      </c>
      <c r="M26" s="72">
        <v>1</v>
      </c>
      <c r="N26" s="72">
        <v>1</v>
      </c>
      <c r="O26" s="75">
        <v>3</v>
      </c>
      <c r="P26" s="74"/>
      <c r="Q26" s="74">
        <f t="shared" si="3"/>
        <v>6</v>
      </c>
      <c r="R26" s="72">
        <v>1</v>
      </c>
      <c r="S26" s="75">
        <v>3</v>
      </c>
      <c r="T26" s="75">
        <v>3</v>
      </c>
      <c r="U26" s="75">
        <f t="shared" si="4"/>
        <v>7</v>
      </c>
      <c r="V26" s="75">
        <f t="shared" si="5"/>
        <v>42</v>
      </c>
      <c r="W26" s="75"/>
      <c r="X26" s="1" t="s">
        <v>139</v>
      </c>
      <c r="Y26" s="75"/>
      <c r="Z26" s="12" t="s">
        <v>142</v>
      </c>
    </row>
    <row r="27" spans="1:26">
      <c r="A27" s="77" t="s">
        <v>45</v>
      </c>
      <c r="B27" s="87" t="s">
        <v>46</v>
      </c>
      <c r="C27" s="76"/>
      <c r="D27" s="74"/>
      <c r="E27" s="74"/>
      <c r="F27" s="1" t="s">
        <v>139</v>
      </c>
      <c r="G27" s="335" t="s">
        <v>139</v>
      </c>
      <c r="H27" s="334"/>
      <c r="I27" s="72" t="s">
        <v>127</v>
      </c>
      <c r="J27" s="83"/>
      <c r="K27" s="1" t="s">
        <v>139</v>
      </c>
      <c r="L27" s="83">
        <v>1</v>
      </c>
      <c r="M27" s="25">
        <v>1</v>
      </c>
      <c r="N27" s="25">
        <v>3</v>
      </c>
      <c r="O27" s="88">
        <v>3</v>
      </c>
      <c r="P27" s="72"/>
      <c r="Q27" s="72">
        <f t="shared" si="3"/>
        <v>8</v>
      </c>
      <c r="R27" s="25">
        <v>1</v>
      </c>
      <c r="S27" s="12">
        <v>3</v>
      </c>
      <c r="T27" s="12">
        <v>3</v>
      </c>
      <c r="U27" s="75">
        <f t="shared" si="4"/>
        <v>7</v>
      </c>
      <c r="V27" s="75">
        <f t="shared" si="5"/>
        <v>56</v>
      </c>
      <c r="W27" s="76"/>
      <c r="X27" s="1" t="s">
        <v>139</v>
      </c>
      <c r="Y27" s="12"/>
      <c r="Z27" s="12" t="s">
        <v>144</v>
      </c>
    </row>
    <row r="28" spans="1:26">
      <c r="A28" s="80"/>
      <c r="B28" s="70" t="s">
        <v>11</v>
      </c>
      <c r="C28" s="1" t="s">
        <v>139</v>
      </c>
      <c r="D28" s="25"/>
      <c r="E28" s="25"/>
      <c r="F28" s="76"/>
      <c r="G28" s="334"/>
      <c r="H28" s="335" t="s">
        <v>139</v>
      </c>
      <c r="I28" s="72" t="s">
        <v>127</v>
      </c>
      <c r="J28" s="1" t="s">
        <v>139</v>
      </c>
      <c r="K28" s="76"/>
      <c r="L28" s="72">
        <v>1</v>
      </c>
      <c r="M28" s="72">
        <v>1</v>
      </c>
      <c r="N28" s="72">
        <v>1</v>
      </c>
      <c r="O28" s="75">
        <v>3</v>
      </c>
      <c r="P28" s="74"/>
      <c r="Q28" s="74">
        <f t="shared" si="3"/>
        <v>6</v>
      </c>
      <c r="R28" s="72">
        <v>1</v>
      </c>
      <c r="S28" s="75">
        <v>3</v>
      </c>
      <c r="T28" s="75">
        <v>3</v>
      </c>
      <c r="U28" s="75">
        <f t="shared" si="4"/>
        <v>7</v>
      </c>
      <c r="V28" s="75">
        <f t="shared" si="5"/>
        <v>42</v>
      </c>
      <c r="W28" s="75"/>
      <c r="X28" s="1" t="s">
        <v>139</v>
      </c>
      <c r="Y28" s="12"/>
      <c r="Z28" s="12" t="s">
        <v>142</v>
      </c>
    </row>
    <row r="29" spans="1:26" ht="81">
      <c r="A29" s="77" t="s">
        <v>52</v>
      </c>
      <c r="B29" s="70" t="s">
        <v>53</v>
      </c>
      <c r="C29" s="74"/>
      <c r="D29" s="74"/>
      <c r="E29" s="74"/>
      <c r="F29" s="1" t="s">
        <v>139</v>
      </c>
      <c r="G29" s="335" t="s">
        <v>139</v>
      </c>
      <c r="H29" s="216"/>
      <c r="I29" s="72" t="s">
        <v>147</v>
      </c>
      <c r="J29" s="1" t="s">
        <v>139</v>
      </c>
      <c r="K29" s="74"/>
      <c r="L29" s="25">
        <v>1</v>
      </c>
      <c r="M29" s="25">
        <v>1</v>
      </c>
      <c r="N29" s="25">
        <v>1</v>
      </c>
      <c r="O29" s="25">
        <v>3</v>
      </c>
      <c r="P29" s="25"/>
      <c r="Q29" s="25">
        <v>6</v>
      </c>
      <c r="R29" s="25">
        <v>1</v>
      </c>
      <c r="S29" s="89">
        <v>1</v>
      </c>
      <c r="T29" s="89">
        <v>3</v>
      </c>
      <c r="U29" s="89">
        <v>5</v>
      </c>
      <c r="V29" s="89">
        <v>30</v>
      </c>
      <c r="W29" s="1" t="s">
        <v>139</v>
      </c>
      <c r="X29" s="12"/>
      <c r="Y29" s="12"/>
      <c r="Z29" s="30" t="s">
        <v>148</v>
      </c>
    </row>
    <row r="30" spans="1:26">
      <c r="A30" s="50"/>
      <c r="B30" s="70" t="s">
        <v>37</v>
      </c>
      <c r="C30" s="74"/>
      <c r="D30" s="1" t="s">
        <v>139</v>
      </c>
      <c r="E30" s="74"/>
      <c r="F30" s="74"/>
      <c r="G30" s="335" t="s">
        <v>139</v>
      </c>
      <c r="H30" s="334"/>
      <c r="I30" s="72" t="s">
        <v>127</v>
      </c>
      <c r="J30" s="1" t="s">
        <v>139</v>
      </c>
      <c r="K30" s="72"/>
      <c r="L30" s="25">
        <v>1</v>
      </c>
      <c r="M30" s="25">
        <v>1</v>
      </c>
      <c r="N30" s="25">
        <v>1</v>
      </c>
      <c r="O30" s="25">
        <v>3</v>
      </c>
      <c r="P30" s="25"/>
      <c r="Q30" s="25">
        <v>6</v>
      </c>
      <c r="R30" s="25">
        <v>1</v>
      </c>
      <c r="S30" s="89">
        <v>1</v>
      </c>
      <c r="T30" s="89">
        <v>3</v>
      </c>
      <c r="U30" s="89">
        <v>5</v>
      </c>
      <c r="V30" s="89">
        <v>30</v>
      </c>
      <c r="W30" s="1" t="s">
        <v>139</v>
      </c>
      <c r="X30" s="12"/>
      <c r="Y30" s="12"/>
      <c r="Z30" s="12" t="s">
        <v>146</v>
      </c>
    </row>
    <row r="31" spans="1:26">
      <c r="A31" s="80"/>
      <c r="B31" s="79" t="s">
        <v>11</v>
      </c>
      <c r="C31" s="1" t="s">
        <v>139</v>
      </c>
      <c r="D31" s="72"/>
      <c r="E31" s="74"/>
      <c r="F31" s="76"/>
      <c r="G31" s="335" t="s">
        <v>139</v>
      </c>
      <c r="H31" s="334"/>
      <c r="I31" s="72" t="s">
        <v>127</v>
      </c>
      <c r="J31" s="72"/>
      <c r="K31" s="1" t="s">
        <v>139</v>
      </c>
      <c r="L31" s="25">
        <v>1</v>
      </c>
      <c r="M31" s="25">
        <v>1</v>
      </c>
      <c r="N31" s="25">
        <v>1</v>
      </c>
      <c r="O31" s="25">
        <v>3</v>
      </c>
      <c r="P31" s="25"/>
      <c r="Q31" s="25">
        <v>6</v>
      </c>
      <c r="R31" s="25">
        <v>1</v>
      </c>
      <c r="S31" s="89">
        <v>1</v>
      </c>
      <c r="T31" s="89">
        <v>3</v>
      </c>
      <c r="U31" s="89">
        <v>5</v>
      </c>
      <c r="V31" s="89">
        <v>30</v>
      </c>
      <c r="W31" s="1" t="s">
        <v>139</v>
      </c>
      <c r="X31" s="90"/>
      <c r="Y31" s="12"/>
      <c r="Z31" s="12" t="s">
        <v>142</v>
      </c>
    </row>
    <row r="32" spans="1:26">
      <c r="A32" s="80"/>
      <c r="B32" s="70" t="s">
        <v>60</v>
      </c>
      <c r="C32" s="74"/>
      <c r="D32" s="74"/>
      <c r="E32" s="74"/>
      <c r="F32" s="1" t="s">
        <v>139</v>
      </c>
      <c r="G32" s="335" t="s">
        <v>139</v>
      </c>
      <c r="H32" s="216"/>
      <c r="I32" s="72" t="s">
        <v>127</v>
      </c>
      <c r="J32" s="83"/>
      <c r="K32" s="1" t="s">
        <v>139</v>
      </c>
      <c r="L32" s="72">
        <v>1</v>
      </c>
      <c r="M32" s="72">
        <v>1</v>
      </c>
      <c r="N32" s="72">
        <v>1</v>
      </c>
      <c r="O32" s="74">
        <v>3</v>
      </c>
      <c r="P32" s="72">
        <v>1</v>
      </c>
      <c r="Q32" s="72">
        <f>SUM(L32:P32)</f>
        <v>7</v>
      </c>
      <c r="R32" s="72">
        <v>1</v>
      </c>
      <c r="S32" s="75">
        <v>3</v>
      </c>
      <c r="T32" s="75">
        <v>3</v>
      </c>
      <c r="U32" s="75">
        <f>SUM(R32:T32)</f>
        <v>7</v>
      </c>
      <c r="V32" s="75">
        <f>Q32*U32</f>
        <v>49</v>
      </c>
      <c r="W32" s="76"/>
      <c r="X32" s="1" t="s">
        <v>139</v>
      </c>
      <c r="Y32" s="12"/>
      <c r="Z32" s="12" t="s">
        <v>141</v>
      </c>
    </row>
    <row r="33" spans="1:26">
      <c r="A33" s="80"/>
      <c r="B33" s="70" t="s">
        <v>58</v>
      </c>
      <c r="C33" s="74"/>
      <c r="D33" s="74"/>
      <c r="E33" s="74"/>
      <c r="F33" s="1" t="s">
        <v>139</v>
      </c>
      <c r="G33" s="335" t="s">
        <v>139</v>
      </c>
      <c r="H33" s="216"/>
      <c r="I33" s="72" t="s">
        <v>127</v>
      </c>
      <c r="J33" s="83"/>
      <c r="K33" s="1" t="s">
        <v>139</v>
      </c>
      <c r="L33" s="72">
        <v>1</v>
      </c>
      <c r="M33" s="72">
        <v>1</v>
      </c>
      <c r="N33" s="72">
        <v>1</v>
      </c>
      <c r="O33" s="74">
        <v>3</v>
      </c>
      <c r="P33" s="74"/>
      <c r="Q33" s="74">
        <v>6</v>
      </c>
      <c r="R33" s="72">
        <v>1</v>
      </c>
      <c r="S33" s="75">
        <v>3</v>
      </c>
      <c r="T33" s="75">
        <v>3</v>
      </c>
      <c r="U33" s="75">
        <v>7</v>
      </c>
      <c r="V33" s="75">
        <v>42</v>
      </c>
      <c r="W33" s="76"/>
      <c r="X33" s="1" t="s">
        <v>139</v>
      </c>
      <c r="Y33" s="12"/>
      <c r="Z33" s="12" t="s">
        <v>141</v>
      </c>
    </row>
    <row r="34" spans="1:26">
      <c r="A34" s="77" t="s">
        <v>61</v>
      </c>
      <c r="B34" s="70" t="s">
        <v>37</v>
      </c>
      <c r="C34" s="74"/>
      <c r="D34" s="1" t="s">
        <v>139</v>
      </c>
      <c r="E34" s="74"/>
      <c r="F34" s="74"/>
      <c r="G34" s="334"/>
      <c r="H34" s="335" t="s">
        <v>139</v>
      </c>
      <c r="I34" s="72" t="s">
        <v>127</v>
      </c>
      <c r="J34" s="1" t="s">
        <v>139</v>
      </c>
      <c r="K34" s="72"/>
      <c r="L34" s="72">
        <v>2</v>
      </c>
      <c r="M34" s="72">
        <v>1</v>
      </c>
      <c r="N34" s="72">
        <v>1</v>
      </c>
      <c r="O34" s="74">
        <v>3</v>
      </c>
      <c r="P34" s="72">
        <v>1</v>
      </c>
      <c r="Q34" s="72">
        <f>SUM(L34:P34)</f>
        <v>8</v>
      </c>
      <c r="R34" s="72">
        <v>1</v>
      </c>
      <c r="S34" s="75">
        <v>3</v>
      </c>
      <c r="T34" s="75">
        <v>2</v>
      </c>
      <c r="U34" s="75">
        <f t="shared" ref="U34:U39" si="6">SUM(R34:T34)</f>
        <v>6</v>
      </c>
      <c r="V34" s="75">
        <f t="shared" ref="V34:V39" si="7">Q34*U34</f>
        <v>48</v>
      </c>
      <c r="W34" s="76"/>
      <c r="X34" s="1" t="s">
        <v>139</v>
      </c>
      <c r="Y34" s="12"/>
      <c r="Z34" s="12" t="s">
        <v>146</v>
      </c>
    </row>
    <row r="35" spans="1:26">
      <c r="A35" s="50"/>
      <c r="B35" s="70" t="s">
        <v>62</v>
      </c>
      <c r="C35" s="74"/>
      <c r="D35" s="72"/>
      <c r="E35" s="74"/>
      <c r="F35" s="1" t="s">
        <v>139</v>
      </c>
      <c r="G35" s="334"/>
      <c r="H35" s="335" t="s">
        <v>139</v>
      </c>
      <c r="I35" s="72" t="s">
        <v>127</v>
      </c>
      <c r="J35" s="76"/>
      <c r="K35" s="1" t="s">
        <v>139</v>
      </c>
      <c r="L35" s="72">
        <v>1</v>
      </c>
      <c r="M35" s="72">
        <v>1</v>
      </c>
      <c r="N35" s="72">
        <v>1</v>
      </c>
      <c r="O35" s="74">
        <v>3</v>
      </c>
      <c r="P35" s="72">
        <v>1</v>
      </c>
      <c r="Q35" s="72">
        <f>SUM(L35:P35)</f>
        <v>7</v>
      </c>
      <c r="R35" s="72">
        <v>1</v>
      </c>
      <c r="S35" s="75">
        <v>3</v>
      </c>
      <c r="T35" s="75">
        <v>3</v>
      </c>
      <c r="U35" s="75">
        <f t="shared" si="6"/>
        <v>7</v>
      </c>
      <c r="V35" s="75">
        <f t="shared" si="7"/>
        <v>49</v>
      </c>
      <c r="W35" s="72"/>
      <c r="X35" s="1" t="s">
        <v>139</v>
      </c>
      <c r="Y35" s="12"/>
      <c r="Z35" s="12" t="s">
        <v>141</v>
      </c>
    </row>
    <row r="36" spans="1:26" s="86" customFormat="1" ht="72">
      <c r="A36" s="91"/>
      <c r="B36" s="27" t="s">
        <v>63</v>
      </c>
      <c r="C36" s="74"/>
      <c r="D36" s="74"/>
      <c r="E36" s="74"/>
      <c r="F36" s="1" t="s">
        <v>139</v>
      </c>
      <c r="G36" s="334"/>
      <c r="H36" s="335" t="s">
        <v>139</v>
      </c>
      <c r="I36" s="72" t="s">
        <v>127</v>
      </c>
      <c r="J36" s="72"/>
      <c r="K36" s="1" t="s">
        <v>139</v>
      </c>
      <c r="L36" s="72">
        <v>1</v>
      </c>
      <c r="M36" s="72">
        <v>1</v>
      </c>
      <c r="N36" s="72">
        <v>1</v>
      </c>
      <c r="O36" s="74">
        <v>3</v>
      </c>
      <c r="P36" s="72">
        <v>1</v>
      </c>
      <c r="Q36" s="72">
        <f>SUM(L36:P36)</f>
        <v>7</v>
      </c>
      <c r="R36" s="72">
        <v>1</v>
      </c>
      <c r="S36" s="75">
        <v>3</v>
      </c>
      <c r="T36" s="75">
        <v>3</v>
      </c>
      <c r="U36" s="75">
        <f t="shared" si="6"/>
        <v>7</v>
      </c>
      <c r="V36" s="75">
        <f t="shared" si="7"/>
        <v>49</v>
      </c>
      <c r="W36" s="76"/>
      <c r="X36" s="1" t="s">
        <v>139</v>
      </c>
      <c r="Y36" s="12"/>
      <c r="Z36" s="12" t="s">
        <v>141</v>
      </c>
    </row>
    <row r="37" spans="1:26">
      <c r="A37" s="77" t="s">
        <v>66</v>
      </c>
      <c r="B37" s="10" t="s">
        <v>67</v>
      </c>
      <c r="C37" s="1" t="s">
        <v>139</v>
      </c>
      <c r="D37" s="76"/>
      <c r="E37" s="76"/>
      <c r="F37" s="74"/>
      <c r="G37" s="335" t="s">
        <v>139</v>
      </c>
      <c r="H37" s="334"/>
      <c r="I37" s="72" t="s">
        <v>127</v>
      </c>
      <c r="J37" s="83"/>
      <c r="K37" s="1" t="s">
        <v>139</v>
      </c>
      <c r="L37" s="83">
        <v>1</v>
      </c>
      <c r="M37" s="25">
        <v>1</v>
      </c>
      <c r="N37" s="25">
        <v>1</v>
      </c>
      <c r="O37" s="74">
        <v>3</v>
      </c>
      <c r="P37" s="26"/>
      <c r="Q37" s="80">
        <v>6</v>
      </c>
      <c r="R37" s="81">
        <v>1</v>
      </c>
      <c r="S37" s="12">
        <v>3</v>
      </c>
      <c r="T37" s="12">
        <v>3</v>
      </c>
      <c r="U37" s="12">
        <f t="shared" si="6"/>
        <v>7</v>
      </c>
      <c r="V37" s="75">
        <f t="shared" si="7"/>
        <v>42</v>
      </c>
      <c r="W37" s="12"/>
      <c r="X37" s="1" t="s">
        <v>139</v>
      </c>
      <c r="Y37" s="12"/>
      <c r="Z37" s="12" t="s">
        <v>142</v>
      </c>
    </row>
    <row r="38" spans="1:26">
      <c r="A38" s="77" t="s">
        <v>71</v>
      </c>
      <c r="B38" s="10" t="s">
        <v>37</v>
      </c>
      <c r="C38" s="76"/>
      <c r="D38" s="1" t="s">
        <v>139</v>
      </c>
      <c r="E38" s="74"/>
      <c r="F38" s="74"/>
      <c r="G38" s="334"/>
      <c r="H38" s="335" t="s">
        <v>139</v>
      </c>
      <c r="I38" s="72" t="s">
        <v>127</v>
      </c>
      <c r="J38" s="1" t="s">
        <v>139</v>
      </c>
      <c r="K38" s="72"/>
      <c r="L38" s="72">
        <v>2</v>
      </c>
      <c r="M38" s="72">
        <v>1</v>
      </c>
      <c r="N38" s="72">
        <v>1</v>
      </c>
      <c r="O38" s="74">
        <v>3</v>
      </c>
      <c r="P38" s="72">
        <v>1</v>
      </c>
      <c r="Q38" s="72">
        <f>SUM(L38:P38)</f>
        <v>8</v>
      </c>
      <c r="R38" s="72">
        <v>1</v>
      </c>
      <c r="S38" s="75">
        <v>3</v>
      </c>
      <c r="T38" s="75">
        <v>2</v>
      </c>
      <c r="U38" s="75">
        <f t="shared" si="6"/>
        <v>6</v>
      </c>
      <c r="V38" s="75">
        <f t="shared" si="7"/>
        <v>48</v>
      </c>
      <c r="W38" s="76"/>
      <c r="X38" s="1" t="s">
        <v>139</v>
      </c>
      <c r="Y38" s="12"/>
      <c r="Z38" s="12" t="s">
        <v>146</v>
      </c>
    </row>
    <row r="39" spans="1:26">
      <c r="A39" s="77"/>
      <c r="B39" s="10" t="s">
        <v>60</v>
      </c>
      <c r="C39" s="76"/>
      <c r="D39" s="74"/>
      <c r="E39" s="74"/>
      <c r="F39" s="1" t="s">
        <v>139</v>
      </c>
      <c r="G39" s="334"/>
      <c r="H39" s="335" t="s">
        <v>139</v>
      </c>
      <c r="I39" s="72" t="s">
        <v>127</v>
      </c>
      <c r="J39" s="72"/>
      <c r="K39" s="1" t="s">
        <v>139</v>
      </c>
      <c r="L39" s="72">
        <v>1</v>
      </c>
      <c r="M39" s="72">
        <v>1</v>
      </c>
      <c r="N39" s="72">
        <v>1</v>
      </c>
      <c r="O39" s="74">
        <v>3</v>
      </c>
      <c r="P39" s="72">
        <v>1</v>
      </c>
      <c r="Q39" s="72">
        <f>SUM(L39:P39)</f>
        <v>7</v>
      </c>
      <c r="R39" s="72">
        <v>1</v>
      </c>
      <c r="S39" s="75">
        <v>3</v>
      </c>
      <c r="T39" s="75">
        <v>3</v>
      </c>
      <c r="U39" s="75">
        <f t="shared" si="6"/>
        <v>7</v>
      </c>
      <c r="V39" s="75">
        <f t="shared" si="7"/>
        <v>49</v>
      </c>
      <c r="W39" s="76"/>
      <c r="X39" s="1" t="s">
        <v>139</v>
      </c>
      <c r="Y39" s="12"/>
      <c r="Z39" s="12" t="s">
        <v>141</v>
      </c>
    </row>
    <row r="40" spans="1:26">
      <c r="A40" s="50"/>
      <c r="B40" s="10" t="s">
        <v>11</v>
      </c>
      <c r="C40" s="1" t="s">
        <v>139</v>
      </c>
      <c r="D40" s="72"/>
      <c r="E40" s="74"/>
      <c r="F40" s="76"/>
      <c r="G40" s="335" t="s">
        <v>139</v>
      </c>
      <c r="H40" s="334"/>
      <c r="I40" s="72" t="s">
        <v>127</v>
      </c>
      <c r="J40" s="72"/>
      <c r="K40" s="1" t="s">
        <v>139</v>
      </c>
      <c r="L40" s="25">
        <v>1</v>
      </c>
      <c r="M40" s="25">
        <v>1</v>
      </c>
      <c r="N40" s="25">
        <v>1</v>
      </c>
      <c r="O40" s="25">
        <v>3</v>
      </c>
      <c r="P40" s="25"/>
      <c r="Q40" s="25">
        <v>6</v>
      </c>
      <c r="R40" s="25">
        <v>1</v>
      </c>
      <c r="S40" s="89">
        <v>1</v>
      </c>
      <c r="T40" s="89">
        <v>3</v>
      </c>
      <c r="U40" s="89">
        <v>5</v>
      </c>
      <c r="V40" s="89">
        <v>30</v>
      </c>
      <c r="W40" s="1" t="s">
        <v>139</v>
      </c>
      <c r="X40" s="12"/>
      <c r="Y40" s="12"/>
      <c r="Z40" s="12" t="s">
        <v>142</v>
      </c>
    </row>
    <row r="41" spans="1:26">
      <c r="A41" s="77" t="s">
        <v>74</v>
      </c>
      <c r="B41" s="10" t="s">
        <v>37</v>
      </c>
      <c r="C41" s="76"/>
      <c r="D41" s="1" t="s">
        <v>139</v>
      </c>
      <c r="E41" s="74"/>
      <c r="F41" s="74"/>
      <c r="G41" s="334"/>
      <c r="H41" s="335" t="s">
        <v>139</v>
      </c>
      <c r="I41" s="72" t="s">
        <v>127</v>
      </c>
      <c r="J41" s="1" t="s">
        <v>139</v>
      </c>
      <c r="K41" s="72"/>
      <c r="L41" s="72">
        <v>2</v>
      </c>
      <c r="M41" s="72">
        <v>1</v>
      </c>
      <c r="N41" s="72">
        <v>1</v>
      </c>
      <c r="O41" s="74">
        <v>3</v>
      </c>
      <c r="P41" s="72">
        <v>1</v>
      </c>
      <c r="Q41" s="72">
        <f>SUM(L41:P41)</f>
        <v>8</v>
      </c>
      <c r="R41" s="72">
        <v>1</v>
      </c>
      <c r="S41" s="75">
        <v>3</v>
      </c>
      <c r="T41" s="75">
        <v>2</v>
      </c>
      <c r="U41" s="75">
        <f>SUM(R41:T41)</f>
        <v>6</v>
      </c>
      <c r="V41" s="75">
        <f>Q41*U41</f>
        <v>48</v>
      </c>
      <c r="W41" s="76"/>
      <c r="X41" s="1" t="s">
        <v>139</v>
      </c>
      <c r="Y41" s="12"/>
      <c r="Z41" s="12" t="s">
        <v>146</v>
      </c>
    </row>
    <row r="42" spans="1:26">
      <c r="A42" s="50"/>
      <c r="B42" s="10" t="s">
        <v>76</v>
      </c>
      <c r="C42" s="76"/>
      <c r="D42" s="74"/>
      <c r="E42" s="74"/>
      <c r="F42" s="1" t="s">
        <v>139</v>
      </c>
      <c r="G42" s="334"/>
      <c r="H42" s="335" t="s">
        <v>139</v>
      </c>
      <c r="I42" s="72" t="s">
        <v>127</v>
      </c>
      <c r="J42" s="72"/>
      <c r="K42" s="1" t="s">
        <v>139</v>
      </c>
      <c r="L42" s="72">
        <v>1</v>
      </c>
      <c r="M42" s="72">
        <v>1</v>
      </c>
      <c r="N42" s="72">
        <v>1</v>
      </c>
      <c r="O42" s="75">
        <v>1</v>
      </c>
      <c r="P42" s="74">
        <v>1</v>
      </c>
      <c r="Q42" s="72">
        <f>SUM(L42:P42)</f>
        <v>5</v>
      </c>
      <c r="R42" s="72">
        <v>1</v>
      </c>
      <c r="S42" s="75">
        <v>3</v>
      </c>
      <c r="T42" s="75">
        <v>3</v>
      </c>
      <c r="U42" s="12">
        <f>SUM(R42:T42)</f>
        <v>7</v>
      </c>
      <c r="V42" s="75">
        <f>Q42*U42</f>
        <v>35</v>
      </c>
      <c r="W42" s="1" t="s">
        <v>139</v>
      </c>
      <c r="X42" s="12"/>
      <c r="Y42" s="12"/>
      <c r="Z42" s="12" t="s">
        <v>141</v>
      </c>
    </row>
    <row r="43" spans="1:26">
      <c r="A43" s="50"/>
      <c r="B43" s="10" t="s">
        <v>60</v>
      </c>
      <c r="C43" s="76"/>
      <c r="D43" s="74"/>
      <c r="E43" s="74"/>
      <c r="F43" s="1" t="s">
        <v>139</v>
      </c>
      <c r="G43" s="334"/>
      <c r="H43" s="335" t="s">
        <v>139</v>
      </c>
      <c r="I43" s="72" t="s">
        <v>127</v>
      </c>
      <c r="J43" s="72"/>
      <c r="K43" s="1" t="s">
        <v>139</v>
      </c>
      <c r="L43" s="72">
        <v>1</v>
      </c>
      <c r="M43" s="72">
        <v>1</v>
      </c>
      <c r="N43" s="72">
        <v>1</v>
      </c>
      <c r="O43" s="74">
        <v>3</v>
      </c>
      <c r="P43" s="72">
        <v>1</v>
      </c>
      <c r="Q43" s="72">
        <f>SUM(L43:P43)</f>
        <v>7</v>
      </c>
      <c r="R43" s="72">
        <v>1</v>
      </c>
      <c r="S43" s="75">
        <v>3</v>
      </c>
      <c r="T43" s="75">
        <v>3</v>
      </c>
      <c r="U43" s="75">
        <f>SUM(R43:T43)</f>
        <v>7</v>
      </c>
      <c r="V43" s="75">
        <f>Q43*U43</f>
        <v>49</v>
      </c>
      <c r="W43" s="76"/>
      <c r="X43" s="1" t="s">
        <v>139</v>
      </c>
      <c r="Y43" s="12"/>
      <c r="Z43" s="12" t="s">
        <v>141</v>
      </c>
    </row>
    <row r="44" spans="1:26">
      <c r="A44" s="50"/>
      <c r="B44" s="50" t="s">
        <v>11</v>
      </c>
      <c r="C44" s="1" t="s">
        <v>139</v>
      </c>
      <c r="D44" s="72"/>
      <c r="E44" s="74"/>
      <c r="F44" s="76"/>
      <c r="G44" s="335" t="s">
        <v>139</v>
      </c>
      <c r="H44" s="334"/>
      <c r="I44" s="72" t="s">
        <v>127</v>
      </c>
      <c r="J44" s="72"/>
      <c r="K44" s="1" t="s">
        <v>139</v>
      </c>
      <c r="L44" s="25">
        <v>1</v>
      </c>
      <c r="M44" s="25">
        <v>1</v>
      </c>
      <c r="N44" s="25">
        <v>1</v>
      </c>
      <c r="O44" s="25">
        <v>3</v>
      </c>
      <c r="P44" s="25"/>
      <c r="Q44" s="25">
        <v>6</v>
      </c>
      <c r="R44" s="25">
        <v>1</v>
      </c>
      <c r="S44" s="89">
        <v>1</v>
      </c>
      <c r="T44" s="89">
        <v>3</v>
      </c>
      <c r="U44" s="89">
        <v>5</v>
      </c>
      <c r="V44" s="89">
        <v>30</v>
      </c>
      <c r="W44" s="1" t="s">
        <v>139</v>
      </c>
      <c r="X44" s="12"/>
      <c r="Y44" s="12"/>
      <c r="Z44" s="12" t="s">
        <v>142</v>
      </c>
    </row>
    <row r="45" spans="1:26">
      <c r="A45" s="92" t="s">
        <v>79</v>
      </c>
      <c r="B45" s="93" t="s">
        <v>80</v>
      </c>
      <c r="C45" s="74"/>
      <c r="D45" s="76"/>
      <c r="E45" s="1" t="s">
        <v>139</v>
      </c>
      <c r="F45" s="76"/>
      <c r="G45" s="335" t="s">
        <v>139</v>
      </c>
      <c r="H45" s="216"/>
      <c r="I45" s="72" t="s">
        <v>127</v>
      </c>
      <c r="J45" s="72"/>
      <c r="K45" s="1" t="s">
        <v>139</v>
      </c>
      <c r="L45" s="72">
        <v>1</v>
      </c>
      <c r="M45" s="72">
        <v>1</v>
      </c>
      <c r="N45" s="72">
        <v>1</v>
      </c>
      <c r="O45" s="75">
        <v>3</v>
      </c>
      <c r="P45" s="74"/>
      <c r="Q45" s="95">
        <f t="shared" ref="Q45" si="8">SUM(L45:P45)</f>
        <v>6</v>
      </c>
      <c r="R45" s="72">
        <v>1</v>
      </c>
      <c r="S45" s="75">
        <v>3</v>
      </c>
      <c r="T45" s="75">
        <v>3</v>
      </c>
      <c r="U45" s="96">
        <f t="shared" ref="U45" si="9">SUM(R45:T45)</f>
        <v>7</v>
      </c>
      <c r="V45" s="96">
        <f t="shared" ref="V45" si="10">Q45*U45</f>
        <v>42</v>
      </c>
      <c r="W45" s="94"/>
      <c r="X45" s="1" t="s">
        <v>139</v>
      </c>
      <c r="Y45" s="12"/>
      <c r="Z45" s="12" t="s">
        <v>142</v>
      </c>
    </row>
    <row r="46" spans="1:26">
      <c r="A46" s="50"/>
      <c r="B46" s="93" t="s">
        <v>37</v>
      </c>
      <c r="C46" s="74"/>
      <c r="D46" s="1" t="s">
        <v>139</v>
      </c>
      <c r="E46" s="74"/>
      <c r="F46" s="76"/>
      <c r="G46" s="335" t="s">
        <v>139</v>
      </c>
      <c r="H46" s="216"/>
      <c r="I46" s="72" t="s">
        <v>127</v>
      </c>
      <c r="J46" s="1" t="s">
        <v>139</v>
      </c>
      <c r="K46" s="72"/>
      <c r="L46" s="72">
        <v>2</v>
      </c>
      <c r="M46" s="72">
        <v>1</v>
      </c>
      <c r="N46" s="72">
        <v>1</v>
      </c>
      <c r="O46" s="74">
        <v>3</v>
      </c>
      <c r="P46" s="72">
        <v>1</v>
      </c>
      <c r="Q46" s="72">
        <f>SUM(L46:P46)</f>
        <v>8</v>
      </c>
      <c r="R46" s="72">
        <v>1</v>
      </c>
      <c r="S46" s="75">
        <v>3</v>
      </c>
      <c r="T46" s="75">
        <v>2</v>
      </c>
      <c r="U46" s="75">
        <f>SUM(R46:T46)</f>
        <v>6</v>
      </c>
      <c r="V46" s="75">
        <f>Q46*U46</f>
        <v>48</v>
      </c>
      <c r="W46" s="76"/>
      <c r="X46" s="1" t="s">
        <v>139</v>
      </c>
      <c r="Y46" s="97"/>
      <c r="Z46" s="12" t="s">
        <v>146</v>
      </c>
    </row>
    <row r="47" spans="1:26">
      <c r="A47" s="50"/>
      <c r="B47" s="93" t="s">
        <v>84</v>
      </c>
      <c r="C47" s="74"/>
      <c r="D47" s="74"/>
      <c r="E47" s="74"/>
      <c r="F47" s="1" t="s">
        <v>139</v>
      </c>
      <c r="G47" s="335" t="s">
        <v>139</v>
      </c>
      <c r="H47" s="334"/>
      <c r="I47" s="72" t="s">
        <v>127</v>
      </c>
      <c r="J47" s="76"/>
      <c r="K47" s="1" t="s">
        <v>139</v>
      </c>
      <c r="L47" s="72">
        <v>1</v>
      </c>
      <c r="M47" s="72">
        <v>1</v>
      </c>
      <c r="N47" s="72">
        <v>1</v>
      </c>
      <c r="O47" s="74">
        <v>3</v>
      </c>
      <c r="P47" s="72">
        <v>1</v>
      </c>
      <c r="Q47" s="72">
        <f>SUM(L47:P47)</f>
        <v>7</v>
      </c>
      <c r="R47" s="72">
        <v>1</v>
      </c>
      <c r="S47" s="75">
        <v>3</v>
      </c>
      <c r="T47" s="75">
        <v>3</v>
      </c>
      <c r="U47" s="75">
        <f>SUM(R47:T47)</f>
        <v>7</v>
      </c>
      <c r="V47" s="75">
        <f>Q47*U47</f>
        <v>49</v>
      </c>
      <c r="W47" s="72"/>
      <c r="X47" s="1" t="s">
        <v>139</v>
      </c>
      <c r="Y47" s="12"/>
      <c r="Z47" s="12" t="s">
        <v>141</v>
      </c>
    </row>
    <row r="48" spans="1:26">
      <c r="A48" s="98" t="s">
        <v>85</v>
      </c>
      <c r="B48" s="99" t="s">
        <v>86</v>
      </c>
      <c r="C48" s="100"/>
      <c r="D48" s="100"/>
      <c r="E48" s="100"/>
      <c r="F48" s="1" t="s">
        <v>139</v>
      </c>
      <c r="G48" s="335" t="s">
        <v>139</v>
      </c>
      <c r="H48" s="101"/>
      <c r="I48" s="101" t="s">
        <v>127</v>
      </c>
      <c r="J48" s="100"/>
      <c r="K48" s="1" t="s">
        <v>139</v>
      </c>
      <c r="L48" s="100">
        <v>1</v>
      </c>
      <c r="M48" s="100">
        <v>1</v>
      </c>
      <c r="N48" s="100">
        <v>1</v>
      </c>
      <c r="O48" s="100">
        <v>3</v>
      </c>
      <c r="P48" s="100"/>
      <c r="Q48" s="95">
        <f t="shared" ref="Q48:Q50" si="11">SUM(L48:P48)</f>
        <v>6</v>
      </c>
      <c r="R48" s="101">
        <v>1</v>
      </c>
      <c r="S48" s="96">
        <v>2</v>
      </c>
      <c r="T48" s="96">
        <v>2</v>
      </c>
      <c r="U48" s="96">
        <f t="shared" ref="U48:U50" si="12">SUM(R48:T48)</f>
        <v>5</v>
      </c>
      <c r="V48" s="96">
        <f t="shared" ref="V48:V50" si="13">Q48*U48</f>
        <v>30</v>
      </c>
      <c r="W48" s="1" t="s">
        <v>139</v>
      </c>
      <c r="X48" s="102"/>
      <c r="Y48" s="103"/>
      <c r="Z48" s="12" t="s">
        <v>141</v>
      </c>
    </row>
    <row r="49" spans="1:27">
      <c r="A49" s="35"/>
      <c r="B49" s="99" t="s">
        <v>88</v>
      </c>
      <c r="C49" s="100"/>
      <c r="D49" s="100"/>
      <c r="E49" s="100"/>
      <c r="F49" s="1" t="s">
        <v>139</v>
      </c>
      <c r="G49" s="335" t="s">
        <v>139</v>
      </c>
      <c r="H49" s="101"/>
      <c r="I49" s="101" t="s">
        <v>127</v>
      </c>
      <c r="J49" s="100"/>
      <c r="K49" s="1" t="s">
        <v>139</v>
      </c>
      <c r="L49" s="100">
        <v>1</v>
      </c>
      <c r="M49" s="100">
        <v>1</v>
      </c>
      <c r="N49" s="100">
        <v>1</v>
      </c>
      <c r="O49" s="100">
        <v>3</v>
      </c>
      <c r="P49" s="100"/>
      <c r="Q49" s="95">
        <f t="shared" si="11"/>
        <v>6</v>
      </c>
      <c r="R49" s="101">
        <v>1</v>
      </c>
      <c r="S49" s="96">
        <v>2</v>
      </c>
      <c r="T49" s="96">
        <v>2</v>
      </c>
      <c r="U49" s="96">
        <f t="shared" si="12"/>
        <v>5</v>
      </c>
      <c r="V49" s="96">
        <f t="shared" si="13"/>
        <v>30</v>
      </c>
      <c r="W49" s="1" t="s">
        <v>139</v>
      </c>
      <c r="X49" s="102"/>
      <c r="Y49" s="103"/>
      <c r="Z49" s="12" t="s">
        <v>141</v>
      </c>
    </row>
    <row r="50" spans="1:27">
      <c r="A50" s="35"/>
      <c r="B50" s="99" t="s">
        <v>90</v>
      </c>
      <c r="C50" s="101"/>
      <c r="D50" s="100"/>
      <c r="E50" s="100"/>
      <c r="F50" s="1" t="s">
        <v>139</v>
      </c>
      <c r="G50" s="335" t="s">
        <v>139</v>
      </c>
      <c r="H50" s="101"/>
      <c r="I50" s="101" t="s">
        <v>127</v>
      </c>
      <c r="J50" s="101"/>
      <c r="K50" s="1" t="s">
        <v>139</v>
      </c>
      <c r="L50" s="100">
        <v>1</v>
      </c>
      <c r="M50" s="100">
        <v>1</v>
      </c>
      <c r="N50" s="100">
        <v>1</v>
      </c>
      <c r="O50" s="100">
        <v>3</v>
      </c>
      <c r="P50" s="100"/>
      <c r="Q50" s="95">
        <f t="shared" si="11"/>
        <v>6</v>
      </c>
      <c r="R50" s="101">
        <v>1</v>
      </c>
      <c r="S50" s="96">
        <v>2</v>
      </c>
      <c r="T50" s="96">
        <v>2</v>
      </c>
      <c r="U50" s="96">
        <f t="shared" si="12"/>
        <v>5</v>
      </c>
      <c r="V50" s="96">
        <f t="shared" si="13"/>
        <v>30</v>
      </c>
      <c r="W50" s="1" t="s">
        <v>139</v>
      </c>
      <c r="X50" s="102"/>
      <c r="Y50" s="103"/>
      <c r="Z50" s="12" t="s">
        <v>141</v>
      </c>
    </row>
    <row r="51" spans="1:27">
      <c r="A51" s="92"/>
      <c r="B51" s="104" t="s">
        <v>37</v>
      </c>
      <c r="C51" s="74"/>
      <c r="D51" s="1" t="s">
        <v>139</v>
      </c>
      <c r="E51" s="74"/>
      <c r="F51" s="76"/>
      <c r="G51" s="335" t="s">
        <v>139</v>
      </c>
      <c r="H51" s="216"/>
      <c r="I51" s="72" t="s">
        <v>127</v>
      </c>
      <c r="J51" s="1" t="s">
        <v>139</v>
      </c>
      <c r="K51" s="72"/>
      <c r="L51" s="72">
        <v>2</v>
      </c>
      <c r="M51" s="72">
        <v>1</v>
      </c>
      <c r="N51" s="72">
        <v>1</v>
      </c>
      <c r="O51" s="74">
        <v>3</v>
      </c>
      <c r="P51" s="72">
        <v>1</v>
      </c>
      <c r="Q51" s="72">
        <f>SUM(L51:P51)</f>
        <v>8</v>
      </c>
      <c r="R51" s="72">
        <v>1</v>
      </c>
      <c r="S51" s="75">
        <v>3</v>
      </c>
      <c r="T51" s="75">
        <v>2</v>
      </c>
      <c r="U51" s="75">
        <f>SUM(R51:T51)</f>
        <v>6</v>
      </c>
      <c r="V51" s="75">
        <f>Q51*U51</f>
        <v>48</v>
      </c>
      <c r="W51" s="76"/>
      <c r="X51" s="1" t="s">
        <v>139</v>
      </c>
      <c r="Y51" s="12"/>
      <c r="Z51" s="12" t="s">
        <v>146</v>
      </c>
    </row>
    <row r="52" spans="1:27">
      <c r="A52" s="98" t="s">
        <v>94</v>
      </c>
      <c r="B52" s="10" t="s">
        <v>95</v>
      </c>
      <c r="C52" s="105"/>
      <c r="D52" s="106"/>
      <c r="E52" s="106"/>
      <c r="F52" s="1" t="s">
        <v>139</v>
      </c>
      <c r="G52" s="335" t="s">
        <v>139</v>
      </c>
      <c r="H52" s="336"/>
      <c r="I52" s="72" t="s">
        <v>127</v>
      </c>
      <c r="J52" s="1" t="s">
        <v>139</v>
      </c>
      <c r="K52" s="105"/>
      <c r="L52" s="92">
        <v>3</v>
      </c>
      <c r="M52" s="92">
        <v>1</v>
      </c>
      <c r="N52" s="92">
        <v>2</v>
      </c>
      <c r="O52" s="92">
        <v>3</v>
      </c>
      <c r="P52" s="92"/>
      <c r="Q52" s="92">
        <v>9</v>
      </c>
      <c r="R52" s="92">
        <v>1</v>
      </c>
      <c r="S52" s="107">
        <v>3</v>
      </c>
      <c r="T52" s="107">
        <v>3</v>
      </c>
      <c r="U52" s="107">
        <v>7</v>
      </c>
      <c r="V52" s="108">
        <v>63</v>
      </c>
      <c r="W52" s="109"/>
      <c r="X52" s="109"/>
      <c r="Y52" s="1" t="s">
        <v>139</v>
      </c>
      <c r="Z52" s="12" t="s">
        <v>149</v>
      </c>
    </row>
    <row r="53" spans="1:27">
      <c r="A53" s="50"/>
      <c r="B53" s="110"/>
      <c r="C53" s="74"/>
      <c r="D53" s="76"/>
      <c r="E53" s="74"/>
      <c r="F53" s="74"/>
      <c r="G53" s="334"/>
      <c r="H53" s="334"/>
      <c r="I53" s="72"/>
      <c r="J53" s="76"/>
      <c r="K53" s="72"/>
      <c r="L53" s="72"/>
      <c r="M53" s="72"/>
      <c r="N53" s="72"/>
      <c r="O53" s="72"/>
      <c r="P53" s="72"/>
      <c r="Q53" s="72"/>
      <c r="R53" s="72"/>
      <c r="S53" s="12"/>
      <c r="T53" s="12"/>
      <c r="U53" s="12"/>
      <c r="V53" s="12"/>
      <c r="W53" s="76"/>
      <c r="X53" s="12"/>
      <c r="Y53" s="12"/>
      <c r="Z53" s="12"/>
    </row>
    <row r="54" spans="1:27">
      <c r="A54" s="50"/>
      <c r="B54" s="111"/>
      <c r="C54" s="76"/>
      <c r="D54" s="72"/>
      <c r="E54" s="74"/>
      <c r="F54" s="76"/>
      <c r="G54" s="334"/>
      <c r="H54" s="334"/>
      <c r="I54" s="72"/>
      <c r="J54" s="72"/>
      <c r="K54" s="76"/>
      <c r="L54" s="72"/>
      <c r="M54" s="72"/>
      <c r="N54" s="72"/>
      <c r="O54" s="72"/>
      <c r="P54" s="72"/>
      <c r="Q54" s="72"/>
      <c r="R54" s="72"/>
      <c r="S54" s="12"/>
      <c r="T54" s="12"/>
      <c r="U54" s="12"/>
      <c r="V54" s="12"/>
      <c r="W54" s="76"/>
      <c r="X54" s="90"/>
      <c r="Y54" s="12"/>
      <c r="Z54" s="12"/>
    </row>
    <row r="55" spans="1:27">
      <c r="A55" s="15"/>
      <c r="B55" s="29"/>
      <c r="C55" s="112"/>
      <c r="D55" s="113"/>
      <c r="E55" s="113"/>
      <c r="F55" s="113"/>
      <c r="G55" s="190"/>
      <c r="H55" s="337"/>
      <c r="I55" s="36"/>
      <c r="J55" s="36"/>
      <c r="K55" s="36"/>
      <c r="L55" s="36"/>
      <c r="M55" s="36"/>
      <c r="N55" s="36"/>
      <c r="O55" s="114"/>
      <c r="P55" s="113"/>
      <c r="Q55" s="113"/>
      <c r="R55" s="36"/>
      <c r="S55" s="114"/>
      <c r="T55" s="114"/>
      <c r="U55" s="114"/>
      <c r="V55" s="114"/>
      <c r="W55" s="114"/>
      <c r="X55" s="112"/>
      <c r="Y55" s="114"/>
      <c r="Z55" s="115"/>
    </row>
    <row r="56" spans="1:27">
      <c r="A56" s="116"/>
      <c r="B56" s="116"/>
      <c r="C56" s="28"/>
      <c r="D56" s="28"/>
      <c r="E56" s="28"/>
      <c r="F56" s="28"/>
      <c r="G56" s="174"/>
      <c r="H56" s="193"/>
      <c r="I56" s="117"/>
      <c r="J56" s="117"/>
      <c r="K56" s="117"/>
      <c r="L56" s="118"/>
      <c r="M56" s="118"/>
      <c r="N56" s="118"/>
      <c r="O56" s="118"/>
      <c r="P56" s="118"/>
      <c r="Q56" s="119"/>
      <c r="R56" s="120"/>
      <c r="S56" s="115"/>
      <c r="T56" s="115"/>
      <c r="U56" s="115"/>
      <c r="V56" s="115"/>
      <c r="W56" s="115"/>
      <c r="X56" s="115"/>
      <c r="Y56" s="115"/>
      <c r="Z56" s="115"/>
    </row>
    <row r="57" spans="1:27">
      <c r="A57" s="60" t="s">
        <v>150</v>
      </c>
    </row>
    <row r="58" spans="1:27">
      <c r="A58" s="67" t="s">
        <v>151</v>
      </c>
      <c r="B58" s="385" t="s">
        <v>152</v>
      </c>
      <c r="C58" s="386"/>
      <c r="D58" s="386"/>
      <c r="E58" s="386"/>
      <c r="F58" s="386"/>
      <c r="G58" s="386"/>
      <c r="H58" s="387"/>
      <c r="I58" s="121" t="s">
        <v>153</v>
      </c>
      <c r="J58" s="122"/>
      <c r="K58" s="122"/>
      <c r="L58" s="122"/>
      <c r="M58" s="122"/>
      <c r="N58" s="122"/>
      <c r="O58" s="123"/>
      <c r="P58" s="124"/>
      <c r="Q58" s="124"/>
      <c r="R58" s="124"/>
      <c r="S58" s="124"/>
      <c r="V58" s="125"/>
      <c r="W58" s="126"/>
      <c r="X58" s="126"/>
      <c r="Y58" s="126"/>
      <c r="AA58" s="127"/>
    </row>
    <row r="59" spans="1:27">
      <c r="A59" s="128" t="s">
        <v>154</v>
      </c>
      <c r="B59" s="128" t="s">
        <v>155</v>
      </c>
      <c r="C59" s="388" t="s">
        <v>156</v>
      </c>
      <c r="D59" s="389"/>
      <c r="E59" s="389"/>
      <c r="F59" s="389"/>
      <c r="G59" s="389"/>
      <c r="H59" s="390"/>
      <c r="I59" s="129" t="s">
        <v>157</v>
      </c>
      <c r="J59" s="130"/>
      <c r="K59" s="130"/>
      <c r="L59" s="131"/>
      <c r="M59" s="132"/>
      <c r="N59" s="61"/>
      <c r="O59" s="133"/>
      <c r="P59" s="61"/>
      <c r="Q59" s="393" t="s">
        <v>101</v>
      </c>
      <c r="R59" s="393"/>
      <c r="S59" s="393"/>
      <c r="T59" s="393"/>
      <c r="U59" s="393"/>
      <c r="V59" s="393"/>
      <c r="W59" s="393"/>
      <c r="X59" s="126"/>
      <c r="Y59" s="126"/>
      <c r="Z59" s="127" t="s">
        <v>105</v>
      </c>
      <c r="AA59" s="127"/>
    </row>
    <row r="60" spans="1:27" ht="45" customHeight="1">
      <c r="A60" s="29" t="s">
        <v>158</v>
      </c>
      <c r="B60" s="29" t="s">
        <v>159</v>
      </c>
      <c r="C60" s="29" t="s">
        <v>160</v>
      </c>
      <c r="D60" s="29"/>
      <c r="E60" s="29"/>
      <c r="F60" s="29"/>
      <c r="G60" s="134"/>
      <c r="H60" s="135"/>
      <c r="I60" s="136" t="s">
        <v>161</v>
      </c>
      <c r="J60" s="137"/>
      <c r="K60" s="137"/>
      <c r="L60" s="137"/>
      <c r="M60" s="137"/>
      <c r="N60" s="137"/>
      <c r="O60" s="135"/>
      <c r="P60" s="127"/>
      <c r="Q60" s="394" t="s">
        <v>162</v>
      </c>
      <c r="R60" s="394"/>
      <c r="S60" s="394"/>
      <c r="T60" s="394"/>
      <c r="U60" s="394"/>
      <c r="V60" s="394"/>
      <c r="W60" s="394"/>
      <c r="X60" s="394"/>
      <c r="Y60" s="394"/>
      <c r="Z60" s="127" t="s">
        <v>105</v>
      </c>
      <c r="AA60" s="127"/>
    </row>
    <row r="61" spans="1:27" ht="53.25" customHeight="1">
      <c r="A61" s="138" t="s">
        <v>163</v>
      </c>
      <c r="B61" s="139" t="s">
        <v>164</v>
      </c>
      <c r="C61" s="139"/>
      <c r="D61" s="139"/>
      <c r="E61" s="139"/>
      <c r="F61" s="139"/>
      <c r="G61" s="140"/>
      <c r="H61" s="141"/>
      <c r="I61" s="129" t="s">
        <v>165</v>
      </c>
      <c r="J61" s="131"/>
      <c r="K61" s="131"/>
      <c r="L61" s="131"/>
      <c r="M61" s="131"/>
      <c r="N61" s="131"/>
      <c r="O61" s="142"/>
      <c r="Q61" s="394" t="s">
        <v>103</v>
      </c>
      <c r="R61" s="394"/>
      <c r="S61" s="394"/>
      <c r="T61" s="394"/>
      <c r="U61" s="394"/>
      <c r="V61" s="394"/>
      <c r="W61" s="394"/>
      <c r="X61" s="394"/>
      <c r="Y61" s="394"/>
      <c r="Z61" s="127" t="s">
        <v>105</v>
      </c>
    </row>
    <row r="62" spans="1:27">
      <c r="A62" s="143"/>
    </row>
    <row r="63" spans="1:27">
      <c r="A63" s="61"/>
      <c r="B63" s="61"/>
      <c r="C63" s="61"/>
      <c r="D63" s="61"/>
      <c r="E63" s="61"/>
      <c r="F63" s="61"/>
      <c r="G63" s="61"/>
      <c r="H63" s="61"/>
      <c r="I63" s="61"/>
      <c r="J63" s="61"/>
    </row>
    <row r="64" spans="1:27">
      <c r="A64" s="378"/>
      <c r="B64" s="378"/>
      <c r="C64" s="378"/>
      <c r="D64" s="378"/>
      <c r="E64" s="378"/>
      <c r="F64" s="378"/>
      <c r="G64" s="378"/>
      <c r="H64" s="378"/>
      <c r="I64" s="378"/>
      <c r="J64" s="378"/>
      <c r="K64" s="378"/>
      <c r="L64" s="378"/>
      <c r="M64" s="378"/>
      <c r="N64" s="378"/>
      <c r="O64" s="378"/>
      <c r="P64" s="378"/>
      <c r="Q64" s="378"/>
      <c r="R64" s="378"/>
    </row>
    <row r="96" spans="3:3">
      <c r="C96" s="144"/>
    </row>
  </sheetData>
  <mergeCells count="22">
    <mergeCell ref="B58:H58"/>
    <mergeCell ref="C59:H59"/>
    <mergeCell ref="A64:R64"/>
    <mergeCell ref="Q4:Q5"/>
    <mergeCell ref="R4:T4"/>
    <mergeCell ref="Q59:W59"/>
    <mergeCell ref="Q60:Y60"/>
    <mergeCell ref="Q61:Y61"/>
    <mergeCell ref="U4:U5"/>
    <mergeCell ref="V4:V5"/>
    <mergeCell ref="Z4:Z5"/>
    <mergeCell ref="AA7:AA8"/>
    <mergeCell ref="A2:Z2"/>
    <mergeCell ref="A3:Z3"/>
    <mergeCell ref="A4:A5"/>
    <mergeCell ref="B4:B5"/>
    <mergeCell ref="C4:F4"/>
    <mergeCell ref="G4:G5"/>
    <mergeCell ref="H4:H5"/>
    <mergeCell ref="I4:I5"/>
    <mergeCell ref="J4:K4"/>
    <mergeCell ref="L4:P4"/>
  </mergeCells>
  <pageMargins left="0.55118110236220474" right="0.15748031496062992" top="0.43307086614173229" bottom="0.35433070866141736" header="0.31496062992125984" footer="0.31496062992125984"/>
  <pageSetup scale="76" orientation="landscape" r:id="rId1"/>
  <colBreaks count="1" manualBreakCount="1">
    <brk id="26" min="1" max="29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E96"/>
  <sheetViews>
    <sheetView topLeftCell="A3" zoomScale="70" zoomScaleNormal="70" zoomScaleSheetLayoutView="90" workbookViewId="0">
      <pane xSplit="2" ySplit="6" topLeftCell="C37" activePane="bottomRight" state="frozen"/>
      <selection pane="topRight" activeCell="B15" sqref="B15"/>
      <selection pane="bottomLeft" activeCell="B15" sqref="B15"/>
      <selection pane="bottomRight" activeCell="A5" sqref="A5:AC5"/>
    </sheetView>
  </sheetViews>
  <sheetFormatPr defaultColWidth="9.140625" defaultRowHeight="20.25"/>
  <cols>
    <col min="1" max="1" width="29.85546875" style="145" customWidth="1"/>
    <col min="2" max="2" width="32.42578125" style="145" customWidth="1"/>
    <col min="3" max="3" width="4.140625" style="145" customWidth="1"/>
    <col min="4" max="5" width="4.7109375" style="145" customWidth="1"/>
    <col min="6" max="6" width="6" style="145" customWidth="1"/>
    <col min="7" max="8" width="4.140625" style="145" customWidth="1"/>
    <col min="9" max="9" width="8.7109375" style="145" customWidth="1"/>
    <col min="10" max="10" width="4.28515625" style="145" customWidth="1"/>
    <col min="11" max="11" width="5.42578125" style="145" customWidth="1"/>
    <col min="12" max="18" width="2.7109375" style="145" customWidth="1"/>
    <col min="19" max="19" width="4" style="145" customWidth="1"/>
    <col min="20" max="20" width="2.7109375" style="145" customWidth="1"/>
    <col min="21" max="23" width="2.7109375" style="146" customWidth="1"/>
    <col min="24" max="24" width="4.42578125" style="146" customWidth="1"/>
    <col min="25" max="25" width="7.140625" style="146" customWidth="1"/>
    <col min="26" max="28" width="5.85546875" style="146" customWidth="1"/>
    <col min="29" max="29" width="26.140625" style="146" customWidth="1"/>
    <col min="30" max="30" width="9.140625" style="146"/>
    <col min="31" max="31" width="10.28515625" style="146" customWidth="1"/>
    <col min="32" max="16384" width="9.140625" style="146"/>
  </cols>
  <sheetData>
    <row r="1" spans="1:30">
      <c r="AC1" s="147" t="s">
        <v>166</v>
      </c>
    </row>
    <row r="2" spans="1:30" ht="22.5" customHeight="1">
      <c r="A2" s="397" t="s">
        <v>167</v>
      </c>
      <c r="B2" s="397"/>
      <c r="C2" s="397"/>
      <c r="D2" s="397"/>
      <c r="E2" s="397"/>
      <c r="F2" s="397"/>
      <c r="G2" s="397"/>
      <c r="H2" s="397"/>
      <c r="I2" s="397"/>
      <c r="J2" s="397"/>
      <c r="K2" s="397"/>
      <c r="L2" s="397"/>
      <c r="M2" s="397"/>
      <c r="N2" s="397"/>
      <c r="O2" s="397"/>
      <c r="P2" s="397"/>
      <c r="Q2" s="397"/>
      <c r="R2" s="397"/>
      <c r="S2" s="397"/>
      <c r="T2" s="397"/>
      <c r="U2" s="397"/>
      <c r="V2" s="397"/>
      <c r="W2" s="397"/>
      <c r="X2" s="397"/>
      <c r="Y2" s="397"/>
      <c r="Z2" s="397"/>
      <c r="AA2" s="397"/>
      <c r="AB2" s="397"/>
      <c r="AC2" s="397"/>
    </row>
    <row r="3" spans="1:30" ht="7.9" customHeight="1">
      <c r="A3" s="148"/>
      <c r="B3" s="148"/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8"/>
      <c r="W3" s="148"/>
      <c r="X3" s="148"/>
      <c r="Y3" s="148"/>
      <c r="Z3" s="148"/>
      <c r="AA3" s="148"/>
      <c r="AB3" s="148"/>
    </row>
    <row r="4" spans="1:30" ht="28.9" customHeight="1">
      <c r="A4" s="148"/>
      <c r="B4" s="148"/>
      <c r="C4" s="148"/>
      <c r="D4" s="148"/>
      <c r="E4" s="148"/>
      <c r="F4" s="148"/>
      <c r="G4" s="148"/>
      <c r="H4" s="148"/>
      <c r="I4" s="148"/>
      <c r="J4" s="148"/>
      <c r="K4" s="148"/>
      <c r="L4" s="148"/>
      <c r="M4" s="148"/>
      <c r="N4" s="148"/>
      <c r="O4" s="148"/>
      <c r="P4" s="148"/>
      <c r="Q4" s="148"/>
      <c r="R4" s="148"/>
      <c r="S4" s="148"/>
      <c r="T4" s="148"/>
      <c r="U4" s="148"/>
      <c r="V4" s="148"/>
      <c r="W4" s="148"/>
      <c r="X4" s="148"/>
      <c r="Y4" s="148"/>
      <c r="Z4" s="148"/>
      <c r="AA4" s="148"/>
      <c r="AB4" s="148"/>
      <c r="AC4" s="356" t="s">
        <v>168</v>
      </c>
    </row>
    <row r="5" spans="1:30" ht="22.5" customHeight="1">
      <c r="A5" s="397" t="s">
        <v>169</v>
      </c>
      <c r="B5" s="397"/>
      <c r="C5" s="397"/>
      <c r="D5" s="397"/>
      <c r="E5" s="397"/>
      <c r="F5" s="397"/>
      <c r="G5" s="397"/>
      <c r="H5" s="397"/>
      <c r="I5" s="397"/>
      <c r="J5" s="397"/>
      <c r="K5" s="397"/>
      <c r="L5" s="397"/>
      <c r="M5" s="397"/>
      <c r="N5" s="397"/>
      <c r="O5" s="397"/>
      <c r="P5" s="397"/>
      <c r="Q5" s="397"/>
      <c r="R5" s="397"/>
      <c r="S5" s="397"/>
      <c r="T5" s="397"/>
      <c r="U5" s="397"/>
      <c r="V5" s="397"/>
      <c r="W5" s="397"/>
      <c r="X5" s="397"/>
      <c r="Y5" s="397"/>
      <c r="Z5" s="397"/>
      <c r="AA5" s="397"/>
      <c r="AB5" s="397"/>
      <c r="AC5" s="397"/>
    </row>
    <row r="6" spans="1:30" ht="22.5" customHeight="1">
      <c r="A6" s="398" t="s">
        <v>2</v>
      </c>
      <c r="B6" s="398"/>
      <c r="C6" s="398"/>
      <c r="D6" s="398"/>
      <c r="E6" s="398"/>
      <c r="F6" s="398"/>
      <c r="G6" s="398"/>
      <c r="H6" s="398"/>
      <c r="I6" s="398"/>
      <c r="J6" s="398"/>
      <c r="K6" s="398"/>
      <c r="L6" s="398"/>
      <c r="M6" s="398"/>
      <c r="N6" s="398"/>
      <c r="O6" s="398"/>
      <c r="P6" s="398"/>
      <c r="Q6" s="398"/>
      <c r="R6" s="398"/>
      <c r="S6" s="398"/>
      <c r="T6" s="398"/>
      <c r="U6" s="398"/>
      <c r="V6" s="398"/>
      <c r="W6" s="398"/>
      <c r="X6" s="398"/>
      <c r="Y6" s="398"/>
      <c r="Z6" s="398"/>
      <c r="AA6" s="398"/>
      <c r="AB6" s="398"/>
      <c r="AC6" s="398"/>
    </row>
    <row r="7" spans="1:30" ht="21" customHeight="1">
      <c r="A7" s="399" t="s">
        <v>108</v>
      </c>
      <c r="B7" s="399" t="s">
        <v>170</v>
      </c>
      <c r="C7" s="400" t="s">
        <v>110</v>
      </c>
      <c r="D7" s="401"/>
      <c r="E7" s="401"/>
      <c r="F7" s="402"/>
      <c r="G7" s="403" t="s">
        <v>111</v>
      </c>
      <c r="H7" s="403" t="s">
        <v>112</v>
      </c>
      <c r="I7" s="405" t="s">
        <v>113</v>
      </c>
      <c r="J7" s="407" t="s">
        <v>114</v>
      </c>
      <c r="K7" s="408"/>
      <c r="L7" s="409" t="s">
        <v>115</v>
      </c>
      <c r="M7" s="410"/>
      <c r="N7" s="410"/>
      <c r="O7" s="410"/>
      <c r="P7" s="410"/>
      <c r="Q7" s="410"/>
      <c r="R7" s="411"/>
      <c r="S7" s="412" t="s">
        <v>116</v>
      </c>
      <c r="T7" s="409" t="s">
        <v>117</v>
      </c>
      <c r="U7" s="410"/>
      <c r="V7" s="410"/>
      <c r="W7" s="411"/>
      <c r="X7" s="412" t="s">
        <v>118</v>
      </c>
      <c r="Y7" s="395" t="s">
        <v>119</v>
      </c>
      <c r="Z7" s="151" t="s">
        <v>120</v>
      </c>
      <c r="AA7" s="152"/>
      <c r="AB7" s="153"/>
      <c r="AC7" s="395" t="s">
        <v>121</v>
      </c>
    </row>
    <row r="8" spans="1:30" ht="94.5" customHeight="1">
      <c r="A8" s="399"/>
      <c r="B8" s="399"/>
      <c r="C8" s="154" t="s">
        <v>171</v>
      </c>
      <c r="D8" s="154" t="s">
        <v>172</v>
      </c>
      <c r="E8" s="154" t="s">
        <v>173</v>
      </c>
      <c r="F8" s="154" t="s">
        <v>174</v>
      </c>
      <c r="G8" s="404"/>
      <c r="H8" s="404"/>
      <c r="I8" s="406"/>
      <c r="J8" s="155" t="s">
        <v>126</v>
      </c>
      <c r="K8" s="156" t="s">
        <v>127</v>
      </c>
      <c r="L8" s="157" t="s">
        <v>128</v>
      </c>
      <c r="M8" s="157" t="s">
        <v>129</v>
      </c>
      <c r="N8" s="157" t="s">
        <v>130</v>
      </c>
      <c r="O8" s="157" t="s">
        <v>131</v>
      </c>
      <c r="P8" s="157" t="s">
        <v>132</v>
      </c>
      <c r="Q8" s="157" t="s">
        <v>175</v>
      </c>
      <c r="R8" s="157" t="s">
        <v>176</v>
      </c>
      <c r="S8" s="413"/>
      <c r="T8" s="157" t="s">
        <v>133</v>
      </c>
      <c r="U8" s="157" t="s">
        <v>134</v>
      </c>
      <c r="V8" s="157" t="s">
        <v>135</v>
      </c>
      <c r="W8" s="150" t="s">
        <v>177</v>
      </c>
      <c r="X8" s="413"/>
      <c r="Y8" s="395"/>
      <c r="Z8" s="157" t="s">
        <v>136</v>
      </c>
      <c r="AA8" s="157" t="s">
        <v>137</v>
      </c>
      <c r="AB8" s="157" t="s">
        <v>138</v>
      </c>
      <c r="AC8" s="395"/>
    </row>
    <row r="9" spans="1:30" ht="40.15" customHeight="1">
      <c r="A9" s="158" t="s">
        <v>178</v>
      </c>
      <c r="B9" s="159" t="s">
        <v>8</v>
      </c>
      <c r="C9" s="101"/>
      <c r="D9" s="101"/>
      <c r="E9" s="101"/>
      <c r="F9" s="335" t="s">
        <v>139</v>
      </c>
      <c r="G9" s="335" t="s">
        <v>139</v>
      </c>
      <c r="H9" s="101"/>
      <c r="I9" s="72" t="s">
        <v>127</v>
      </c>
      <c r="J9" s="335" t="s">
        <v>139</v>
      </c>
      <c r="K9" s="94"/>
      <c r="L9" s="163">
        <v>2</v>
      </c>
      <c r="M9" s="163">
        <v>1</v>
      </c>
      <c r="N9" s="163">
        <v>1</v>
      </c>
      <c r="O9" s="163">
        <v>1</v>
      </c>
      <c r="P9" s="163">
        <v>2</v>
      </c>
      <c r="Q9" s="163">
        <v>1</v>
      </c>
      <c r="R9" s="164"/>
      <c r="S9" s="165">
        <v>6</v>
      </c>
      <c r="T9" s="166">
        <v>1</v>
      </c>
      <c r="U9" s="167">
        <v>2</v>
      </c>
      <c r="V9" s="167">
        <v>2</v>
      </c>
      <c r="W9" s="167">
        <v>1</v>
      </c>
      <c r="X9" s="167">
        <f>SUM(T9:W9)</f>
        <v>6</v>
      </c>
      <c r="Y9" s="96">
        <f>S9*X9</f>
        <v>36</v>
      </c>
      <c r="Z9" s="335" t="s">
        <v>139</v>
      </c>
      <c r="AA9" s="335" t="s">
        <v>139</v>
      </c>
      <c r="AB9" s="190"/>
      <c r="AC9" s="169" t="s">
        <v>179</v>
      </c>
    </row>
    <row r="10" spans="1:30" ht="24.6" customHeight="1">
      <c r="A10" s="52"/>
      <c r="B10" s="170" t="s">
        <v>10</v>
      </c>
      <c r="C10" s="171"/>
      <c r="D10" s="171"/>
      <c r="E10" s="171"/>
      <c r="F10" s="335" t="s">
        <v>139</v>
      </c>
      <c r="G10" s="335" t="s">
        <v>139</v>
      </c>
      <c r="H10" s="182"/>
      <c r="I10" s="173" t="s">
        <v>127</v>
      </c>
      <c r="J10" s="173"/>
      <c r="K10" s="335" t="s">
        <v>139</v>
      </c>
      <c r="L10" s="174">
        <v>1</v>
      </c>
      <c r="M10" s="175">
        <v>2</v>
      </c>
      <c r="N10" s="175">
        <v>1</v>
      </c>
      <c r="O10" s="175">
        <v>1</v>
      </c>
      <c r="P10" s="175">
        <v>3</v>
      </c>
      <c r="Q10" s="175">
        <v>1</v>
      </c>
      <c r="R10" s="175"/>
      <c r="S10" s="174">
        <v>9</v>
      </c>
      <c r="T10" s="176">
        <v>1</v>
      </c>
      <c r="U10" s="177">
        <v>1</v>
      </c>
      <c r="V10" s="177">
        <v>2</v>
      </c>
      <c r="W10" s="177">
        <v>1</v>
      </c>
      <c r="X10" s="177">
        <v>5</v>
      </c>
      <c r="Y10" s="178">
        <v>45</v>
      </c>
      <c r="Z10" s="335" t="s">
        <v>139</v>
      </c>
      <c r="AA10" s="178"/>
      <c r="AB10" s="179"/>
      <c r="AC10" s="180" t="s">
        <v>180</v>
      </c>
      <c r="AD10" s="396"/>
    </row>
    <row r="11" spans="1:30" ht="24.6" customHeight="1">
      <c r="A11" s="52"/>
      <c r="B11" s="181" t="s">
        <v>12</v>
      </c>
      <c r="C11" s="335" t="s">
        <v>139</v>
      </c>
      <c r="D11" s="182"/>
      <c r="E11" s="182"/>
      <c r="F11" s="182"/>
      <c r="G11" s="335" t="s">
        <v>139</v>
      </c>
      <c r="H11" s="171"/>
      <c r="I11" s="183" t="s">
        <v>127</v>
      </c>
      <c r="J11" s="183"/>
      <c r="K11" s="335" t="s">
        <v>139</v>
      </c>
      <c r="L11" s="175">
        <v>1</v>
      </c>
      <c r="M11" s="175">
        <v>3</v>
      </c>
      <c r="N11" s="175">
        <v>1</v>
      </c>
      <c r="O11" s="175">
        <v>1</v>
      </c>
      <c r="P11" s="175">
        <v>3</v>
      </c>
      <c r="Q11" s="175">
        <v>1</v>
      </c>
      <c r="R11" s="175"/>
      <c r="S11" s="174">
        <v>10</v>
      </c>
      <c r="T11" s="176">
        <v>1</v>
      </c>
      <c r="U11" s="176">
        <v>1</v>
      </c>
      <c r="V11" s="176">
        <v>1</v>
      </c>
      <c r="W11" s="176">
        <v>1</v>
      </c>
      <c r="X11" s="177">
        <v>4</v>
      </c>
      <c r="Y11" s="178">
        <v>40</v>
      </c>
      <c r="Z11" s="335" t="s">
        <v>139</v>
      </c>
      <c r="AA11" s="190"/>
      <c r="AB11" s="179"/>
      <c r="AC11" s="180" t="s">
        <v>181</v>
      </c>
      <c r="AD11" s="396"/>
    </row>
    <row r="12" spans="1:30" ht="24.6" customHeight="1">
      <c r="A12" s="184"/>
      <c r="B12" s="181" t="s">
        <v>13</v>
      </c>
      <c r="C12" s="335" t="s">
        <v>139</v>
      </c>
      <c r="D12" s="182"/>
      <c r="E12" s="182"/>
      <c r="F12" s="182"/>
      <c r="G12" s="335" t="s">
        <v>139</v>
      </c>
      <c r="H12" s="171"/>
      <c r="I12" s="183" t="s">
        <v>127</v>
      </c>
      <c r="J12" s="335" t="s">
        <v>139</v>
      </c>
      <c r="K12" s="183"/>
      <c r="L12" s="175">
        <v>1</v>
      </c>
      <c r="M12" s="175">
        <v>3</v>
      </c>
      <c r="N12" s="175">
        <v>3</v>
      </c>
      <c r="O12" s="175">
        <v>1</v>
      </c>
      <c r="P12" s="175">
        <v>3</v>
      </c>
      <c r="Q12" s="175">
        <v>1</v>
      </c>
      <c r="R12" s="175"/>
      <c r="S12" s="174">
        <v>12</v>
      </c>
      <c r="T12" s="176">
        <v>1</v>
      </c>
      <c r="U12" s="176">
        <v>2</v>
      </c>
      <c r="V12" s="176">
        <v>1</v>
      </c>
      <c r="W12" s="176">
        <v>1</v>
      </c>
      <c r="X12" s="177">
        <v>5</v>
      </c>
      <c r="Y12" s="178">
        <v>60</v>
      </c>
      <c r="Z12" s="190"/>
      <c r="AA12" s="335" t="s">
        <v>139</v>
      </c>
      <c r="AB12" s="179"/>
      <c r="AC12" s="180" t="s">
        <v>181</v>
      </c>
    </row>
    <row r="13" spans="1:30" ht="24.6" customHeight="1">
      <c r="A13" s="184"/>
      <c r="B13" s="181" t="s">
        <v>14</v>
      </c>
      <c r="C13" s="171"/>
      <c r="D13" s="171"/>
      <c r="E13" s="335" t="s">
        <v>139</v>
      </c>
      <c r="F13" s="171"/>
      <c r="G13" s="335" t="s">
        <v>139</v>
      </c>
      <c r="H13" s="182"/>
      <c r="I13" s="173" t="s">
        <v>127</v>
      </c>
      <c r="J13" s="335" t="s">
        <v>139</v>
      </c>
      <c r="K13" s="183"/>
      <c r="L13" s="175">
        <v>1</v>
      </c>
      <c r="M13" s="175">
        <v>3</v>
      </c>
      <c r="N13" s="175">
        <v>1</v>
      </c>
      <c r="O13" s="186">
        <v>1</v>
      </c>
      <c r="P13" s="174">
        <v>3</v>
      </c>
      <c r="Q13" s="175">
        <v>1</v>
      </c>
      <c r="R13" s="175"/>
      <c r="S13" s="174">
        <v>10</v>
      </c>
      <c r="T13" s="177">
        <v>1</v>
      </c>
      <c r="U13" s="177">
        <v>1</v>
      </c>
      <c r="V13" s="177">
        <v>1</v>
      </c>
      <c r="W13" s="177">
        <v>1</v>
      </c>
      <c r="X13" s="177">
        <v>4</v>
      </c>
      <c r="Y13" s="178">
        <v>40</v>
      </c>
      <c r="Z13" s="335" t="s">
        <v>139</v>
      </c>
      <c r="AA13" s="178"/>
      <c r="AB13" s="179"/>
      <c r="AC13" s="180" t="s">
        <v>182</v>
      </c>
    </row>
    <row r="14" spans="1:30" ht="24.6" customHeight="1">
      <c r="A14" s="52"/>
      <c r="B14" s="170" t="s">
        <v>15</v>
      </c>
      <c r="C14" s="171"/>
      <c r="D14" s="171"/>
      <c r="E14" s="190"/>
      <c r="F14" s="335" t="s">
        <v>139</v>
      </c>
      <c r="G14" s="335" t="s">
        <v>139</v>
      </c>
      <c r="H14" s="182"/>
      <c r="I14" s="173" t="s">
        <v>127</v>
      </c>
      <c r="J14" s="173"/>
      <c r="K14" s="335" t="s">
        <v>139</v>
      </c>
      <c r="L14" s="175">
        <v>1</v>
      </c>
      <c r="M14" s="175">
        <v>2</v>
      </c>
      <c r="N14" s="175">
        <v>1</v>
      </c>
      <c r="O14" s="186">
        <v>1</v>
      </c>
      <c r="P14" s="174">
        <v>1</v>
      </c>
      <c r="Q14" s="175">
        <v>1</v>
      </c>
      <c r="R14" s="175"/>
      <c r="S14" s="174">
        <v>9</v>
      </c>
      <c r="T14" s="177">
        <v>1</v>
      </c>
      <c r="U14" s="177">
        <v>1</v>
      </c>
      <c r="V14" s="177">
        <v>1</v>
      </c>
      <c r="W14" s="177">
        <v>1</v>
      </c>
      <c r="X14" s="177">
        <v>4</v>
      </c>
      <c r="Y14" s="178">
        <v>36</v>
      </c>
      <c r="Z14" s="335" t="s">
        <v>139</v>
      </c>
      <c r="AA14" s="179"/>
      <c r="AB14" s="179"/>
      <c r="AC14" s="180" t="s">
        <v>180</v>
      </c>
    </row>
    <row r="15" spans="1:30" ht="24.6" customHeight="1">
      <c r="A15" s="189" t="s">
        <v>16</v>
      </c>
      <c r="B15" s="170" t="s">
        <v>17</v>
      </c>
      <c r="C15" s="190"/>
      <c r="D15" s="182"/>
      <c r="E15" s="335" t="s">
        <v>139</v>
      </c>
      <c r="F15" s="182"/>
      <c r="G15" s="335" t="s">
        <v>139</v>
      </c>
      <c r="H15" s="171"/>
      <c r="I15" s="173" t="s">
        <v>127</v>
      </c>
      <c r="J15" s="335" t="s">
        <v>139</v>
      </c>
      <c r="K15" s="354"/>
      <c r="L15" s="175">
        <v>1</v>
      </c>
      <c r="M15" s="175">
        <v>3</v>
      </c>
      <c r="N15" s="175">
        <v>1</v>
      </c>
      <c r="O15" s="186">
        <v>1</v>
      </c>
      <c r="P15" s="174">
        <v>3</v>
      </c>
      <c r="Q15" s="175">
        <v>1</v>
      </c>
      <c r="R15" s="175"/>
      <c r="S15" s="174">
        <v>10</v>
      </c>
      <c r="T15" s="177">
        <v>1</v>
      </c>
      <c r="U15" s="177">
        <v>1</v>
      </c>
      <c r="V15" s="177">
        <v>1</v>
      </c>
      <c r="W15" s="177">
        <v>1</v>
      </c>
      <c r="X15" s="177">
        <v>4</v>
      </c>
      <c r="Y15" s="178">
        <v>40</v>
      </c>
      <c r="Z15" s="335" t="s">
        <v>139</v>
      </c>
      <c r="AA15" s="179"/>
      <c r="AB15" s="179"/>
      <c r="AC15" s="180" t="s">
        <v>182</v>
      </c>
    </row>
    <row r="16" spans="1:30" ht="24.6" customHeight="1">
      <c r="A16" s="52"/>
      <c r="B16" s="181" t="s">
        <v>18</v>
      </c>
      <c r="C16" s="335" t="s">
        <v>139</v>
      </c>
      <c r="D16" s="182"/>
      <c r="E16" s="182"/>
      <c r="F16" s="182"/>
      <c r="G16" s="335" t="s">
        <v>139</v>
      </c>
      <c r="H16" s="171"/>
      <c r="I16" s="173" t="s">
        <v>127</v>
      </c>
      <c r="J16" s="183"/>
      <c r="K16" s="335" t="s">
        <v>139</v>
      </c>
      <c r="L16" s="175">
        <v>1</v>
      </c>
      <c r="M16" s="175">
        <v>1</v>
      </c>
      <c r="N16" s="175">
        <v>3</v>
      </c>
      <c r="O16" s="175">
        <v>2</v>
      </c>
      <c r="P16" s="175">
        <v>3</v>
      </c>
      <c r="Q16" s="175">
        <v>1</v>
      </c>
      <c r="R16" s="175"/>
      <c r="S16" s="174">
        <v>11</v>
      </c>
      <c r="T16" s="176">
        <v>1</v>
      </c>
      <c r="U16" s="176">
        <v>1</v>
      </c>
      <c r="V16" s="176">
        <v>1</v>
      </c>
      <c r="W16" s="176">
        <v>1</v>
      </c>
      <c r="X16" s="177">
        <v>4</v>
      </c>
      <c r="Y16" s="178">
        <v>44</v>
      </c>
      <c r="Z16" s="335" t="s">
        <v>139</v>
      </c>
      <c r="AA16" s="190"/>
      <c r="AB16" s="179"/>
      <c r="AC16" s="180" t="s">
        <v>181</v>
      </c>
    </row>
    <row r="17" spans="1:31" ht="24.6" customHeight="1">
      <c r="A17" s="184"/>
      <c r="B17" s="181" t="s">
        <v>19</v>
      </c>
      <c r="C17" s="335" t="s">
        <v>139</v>
      </c>
      <c r="D17" s="190"/>
      <c r="E17" s="182"/>
      <c r="F17" s="184"/>
      <c r="G17" s="335" t="s">
        <v>139</v>
      </c>
      <c r="H17" s="171"/>
      <c r="I17" s="183" t="s">
        <v>127</v>
      </c>
      <c r="J17" s="335" t="s">
        <v>139</v>
      </c>
      <c r="K17" s="183"/>
      <c r="L17" s="175">
        <v>1</v>
      </c>
      <c r="M17" s="175">
        <v>3</v>
      </c>
      <c r="N17" s="175">
        <v>1</v>
      </c>
      <c r="O17" s="175">
        <v>2</v>
      </c>
      <c r="P17" s="175">
        <v>3</v>
      </c>
      <c r="Q17" s="175">
        <v>1</v>
      </c>
      <c r="R17" s="175"/>
      <c r="S17" s="174">
        <v>11</v>
      </c>
      <c r="T17" s="176">
        <v>1</v>
      </c>
      <c r="U17" s="177">
        <v>1</v>
      </c>
      <c r="V17" s="177">
        <v>1</v>
      </c>
      <c r="W17" s="177">
        <v>1</v>
      </c>
      <c r="X17" s="177">
        <v>4</v>
      </c>
      <c r="Y17" s="178">
        <v>44</v>
      </c>
      <c r="Z17" s="335" t="s">
        <v>139</v>
      </c>
      <c r="AA17" s="179"/>
      <c r="AB17" s="179"/>
      <c r="AC17" s="180" t="s">
        <v>181</v>
      </c>
    </row>
    <row r="18" spans="1:31" ht="24.6" customHeight="1">
      <c r="A18" s="189" t="s">
        <v>20</v>
      </c>
      <c r="B18" s="170" t="s">
        <v>21</v>
      </c>
      <c r="C18" s="175"/>
      <c r="D18" s="175"/>
      <c r="E18" s="175"/>
      <c r="F18" s="335" t="s">
        <v>139</v>
      </c>
      <c r="G18" s="335" t="s">
        <v>139</v>
      </c>
      <c r="H18" s="193"/>
      <c r="I18" s="173" t="s">
        <v>127</v>
      </c>
      <c r="J18" s="354"/>
      <c r="K18" s="335" t="s">
        <v>139</v>
      </c>
      <c r="L18" s="175">
        <v>1</v>
      </c>
      <c r="M18" s="175">
        <v>2</v>
      </c>
      <c r="N18" s="175">
        <v>1</v>
      </c>
      <c r="O18" s="175">
        <v>1</v>
      </c>
      <c r="P18" s="175">
        <v>1</v>
      </c>
      <c r="Q18" s="175">
        <v>1</v>
      </c>
      <c r="R18" s="175"/>
      <c r="S18" s="174">
        <v>7</v>
      </c>
      <c r="T18" s="176">
        <v>1</v>
      </c>
      <c r="U18" s="177">
        <v>1</v>
      </c>
      <c r="V18" s="177">
        <v>3</v>
      </c>
      <c r="W18" s="177">
        <v>1</v>
      </c>
      <c r="X18" s="177">
        <v>5</v>
      </c>
      <c r="Y18" s="178">
        <v>35</v>
      </c>
      <c r="Z18" s="335" t="s">
        <v>139</v>
      </c>
      <c r="AA18" s="179"/>
      <c r="AB18" s="179"/>
      <c r="AC18" s="180" t="s">
        <v>180</v>
      </c>
    </row>
    <row r="19" spans="1:31" ht="24.6" customHeight="1">
      <c r="A19" s="184"/>
      <c r="B19" s="181" t="s">
        <v>23</v>
      </c>
      <c r="C19" s="175"/>
      <c r="D19" s="175"/>
      <c r="E19" s="175"/>
      <c r="F19" s="335" t="s">
        <v>139</v>
      </c>
      <c r="G19" s="335" t="s">
        <v>139</v>
      </c>
      <c r="H19" s="182"/>
      <c r="I19" s="173" t="s">
        <v>127</v>
      </c>
      <c r="J19" s="173"/>
      <c r="K19" s="335" t="s">
        <v>139</v>
      </c>
      <c r="L19" s="175">
        <v>1</v>
      </c>
      <c r="M19" s="175">
        <v>2</v>
      </c>
      <c r="N19" s="175">
        <v>1</v>
      </c>
      <c r="O19" s="186">
        <v>1</v>
      </c>
      <c r="P19" s="174">
        <v>1</v>
      </c>
      <c r="Q19" s="175">
        <v>1</v>
      </c>
      <c r="R19" s="175"/>
      <c r="S19" s="174">
        <v>9</v>
      </c>
      <c r="T19" s="177">
        <v>1</v>
      </c>
      <c r="U19" s="177">
        <v>1</v>
      </c>
      <c r="V19" s="177">
        <v>1</v>
      </c>
      <c r="W19" s="177">
        <v>1</v>
      </c>
      <c r="X19" s="177">
        <v>4</v>
      </c>
      <c r="Y19" s="178">
        <v>36</v>
      </c>
      <c r="Z19" s="335" t="s">
        <v>139</v>
      </c>
      <c r="AA19" s="179"/>
      <c r="AB19" s="179"/>
      <c r="AC19" s="180" t="s">
        <v>180</v>
      </c>
    </row>
    <row r="20" spans="1:31" ht="24.6" customHeight="1">
      <c r="A20" s="189" t="s">
        <v>24</v>
      </c>
      <c r="B20" s="181" t="s">
        <v>25</v>
      </c>
      <c r="C20" s="174"/>
      <c r="D20" s="174"/>
      <c r="E20" s="174"/>
      <c r="F20" s="335" t="s">
        <v>139</v>
      </c>
      <c r="G20" s="335" t="s">
        <v>139</v>
      </c>
      <c r="H20" s="193"/>
      <c r="I20" s="173" t="s">
        <v>127</v>
      </c>
      <c r="J20" s="354"/>
      <c r="K20" s="335" t="s">
        <v>139</v>
      </c>
      <c r="L20" s="175">
        <v>1</v>
      </c>
      <c r="M20" s="175">
        <v>2</v>
      </c>
      <c r="N20" s="175">
        <v>1</v>
      </c>
      <c r="O20" s="175">
        <v>1</v>
      </c>
      <c r="P20" s="175">
        <v>1</v>
      </c>
      <c r="Q20" s="175">
        <v>1</v>
      </c>
      <c r="R20" s="175"/>
      <c r="S20" s="174">
        <v>7</v>
      </c>
      <c r="T20" s="176">
        <v>1</v>
      </c>
      <c r="U20" s="177">
        <v>1</v>
      </c>
      <c r="V20" s="177">
        <v>3</v>
      </c>
      <c r="W20" s="177">
        <v>1</v>
      </c>
      <c r="X20" s="177">
        <v>5</v>
      </c>
      <c r="Y20" s="178">
        <v>35</v>
      </c>
      <c r="Z20" s="335" t="s">
        <v>139</v>
      </c>
      <c r="AA20" s="179"/>
      <c r="AB20" s="179"/>
      <c r="AC20" s="180" t="s">
        <v>180</v>
      </c>
    </row>
    <row r="21" spans="1:31" ht="24.6" customHeight="1">
      <c r="A21" s="52"/>
      <c r="B21" s="181" t="s">
        <v>23</v>
      </c>
      <c r="C21" s="174"/>
      <c r="D21" s="174"/>
      <c r="E21" s="174"/>
      <c r="F21" s="335" t="s">
        <v>139</v>
      </c>
      <c r="G21" s="335" t="s">
        <v>139</v>
      </c>
      <c r="H21" s="182"/>
      <c r="I21" s="173" t="s">
        <v>127</v>
      </c>
      <c r="J21" s="173"/>
      <c r="K21" s="335" t="s">
        <v>139</v>
      </c>
      <c r="L21" s="175">
        <v>1</v>
      </c>
      <c r="M21" s="175">
        <v>2</v>
      </c>
      <c r="N21" s="175">
        <v>1</v>
      </c>
      <c r="O21" s="186">
        <v>1</v>
      </c>
      <c r="P21" s="174">
        <v>1</v>
      </c>
      <c r="Q21" s="175">
        <v>1</v>
      </c>
      <c r="R21" s="175"/>
      <c r="S21" s="174">
        <v>9</v>
      </c>
      <c r="T21" s="177">
        <v>1</v>
      </c>
      <c r="U21" s="177">
        <v>1</v>
      </c>
      <c r="V21" s="177">
        <v>1</v>
      </c>
      <c r="W21" s="177">
        <v>1</v>
      </c>
      <c r="X21" s="177">
        <v>4</v>
      </c>
      <c r="Y21" s="178">
        <v>36</v>
      </c>
      <c r="Z21" s="335" t="s">
        <v>139</v>
      </c>
      <c r="AA21" s="179"/>
      <c r="AB21" s="179"/>
      <c r="AC21" s="180" t="s">
        <v>180</v>
      </c>
    </row>
    <row r="22" spans="1:31" ht="24.6" customHeight="1">
      <c r="A22" s="184"/>
      <c r="B22" s="181" t="s">
        <v>27</v>
      </c>
      <c r="C22" s="174"/>
      <c r="D22" s="174"/>
      <c r="E22" s="174"/>
      <c r="F22" s="335" t="s">
        <v>139</v>
      </c>
      <c r="G22" s="335" t="s">
        <v>139</v>
      </c>
      <c r="H22" s="193"/>
      <c r="I22" s="173" t="s">
        <v>127</v>
      </c>
      <c r="J22" s="113"/>
      <c r="K22" s="335" t="s">
        <v>139</v>
      </c>
      <c r="L22" s="175">
        <v>1</v>
      </c>
      <c r="M22" s="182">
        <v>2</v>
      </c>
      <c r="N22" s="182">
        <v>1</v>
      </c>
      <c r="O22" s="182">
        <v>1</v>
      </c>
      <c r="P22" s="175">
        <v>3</v>
      </c>
      <c r="Q22" s="175">
        <v>1</v>
      </c>
      <c r="R22" s="175"/>
      <c r="S22" s="175">
        <v>9</v>
      </c>
      <c r="T22" s="177">
        <v>1</v>
      </c>
      <c r="U22" s="177">
        <v>1</v>
      </c>
      <c r="V22" s="177">
        <v>1</v>
      </c>
      <c r="W22" s="177">
        <v>1</v>
      </c>
      <c r="X22" s="177">
        <v>4</v>
      </c>
      <c r="Y22" s="178">
        <v>36</v>
      </c>
      <c r="Z22" s="335" t="s">
        <v>139</v>
      </c>
      <c r="AA22" s="177"/>
      <c r="AB22" s="177"/>
      <c r="AC22" s="180" t="s">
        <v>180</v>
      </c>
      <c r="AD22" s="194"/>
      <c r="AE22" s="168"/>
    </row>
    <row r="23" spans="1:31" ht="24.6" customHeight="1">
      <c r="A23" s="184"/>
      <c r="B23" s="181" t="s">
        <v>29</v>
      </c>
      <c r="C23" s="174"/>
      <c r="D23" s="174"/>
      <c r="E23" s="174"/>
      <c r="F23" s="335" t="s">
        <v>139</v>
      </c>
      <c r="G23" s="335" t="s">
        <v>139</v>
      </c>
      <c r="H23" s="193"/>
      <c r="I23" s="173" t="s">
        <v>127</v>
      </c>
      <c r="J23" s="335" t="s">
        <v>139</v>
      </c>
      <c r="K23" s="113"/>
      <c r="L23" s="175">
        <v>1</v>
      </c>
      <c r="M23" s="175">
        <v>2</v>
      </c>
      <c r="N23" s="175">
        <v>1</v>
      </c>
      <c r="O23" s="175">
        <v>1</v>
      </c>
      <c r="P23" s="175">
        <v>3</v>
      </c>
      <c r="Q23" s="175">
        <v>1</v>
      </c>
      <c r="R23" s="175"/>
      <c r="S23" s="174">
        <v>9</v>
      </c>
      <c r="T23" s="177">
        <v>1</v>
      </c>
      <c r="U23" s="177">
        <v>1</v>
      </c>
      <c r="V23" s="177">
        <v>1</v>
      </c>
      <c r="W23" s="177">
        <v>1</v>
      </c>
      <c r="X23" s="177">
        <v>4</v>
      </c>
      <c r="Y23" s="178">
        <v>36</v>
      </c>
      <c r="Z23" s="335" t="s">
        <v>139</v>
      </c>
      <c r="AA23" s="179"/>
      <c r="AB23" s="179"/>
      <c r="AC23" s="180" t="s">
        <v>180</v>
      </c>
    </row>
    <row r="24" spans="1:31" ht="24.6" customHeight="1">
      <c r="A24" s="189" t="s">
        <v>30</v>
      </c>
      <c r="B24" s="181" t="s">
        <v>25</v>
      </c>
      <c r="C24" s="174"/>
      <c r="D24" s="174"/>
      <c r="E24" s="174"/>
      <c r="F24" s="335" t="s">
        <v>139</v>
      </c>
      <c r="G24" s="190"/>
      <c r="H24" s="335" t="s">
        <v>139</v>
      </c>
      <c r="I24" s="173" t="s">
        <v>127</v>
      </c>
      <c r="J24" s="354"/>
      <c r="K24" s="335" t="s">
        <v>139</v>
      </c>
      <c r="L24" s="175">
        <v>1</v>
      </c>
      <c r="M24" s="175">
        <v>2</v>
      </c>
      <c r="N24" s="175">
        <v>1</v>
      </c>
      <c r="O24" s="175">
        <v>1</v>
      </c>
      <c r="P24" s="175">
        <v>1</v>
      </c>
      <c r="Q24" s="175">
        <v>1</v>
      </c>
      <c r="R24" s="175"/>
      <c r="S24" s="174">
        <v>7</v>
      </c>
      <c r="T24" s="176">
        <v>1</v>
      </c>
      <c r="U24" s="177">
        <v>1</v>
      </c>
      <c r="V24" s="177">
        <v>3</v>
      </c>
      <c r="W24" s="177">
        <v>1</v>
      </c>
      <c r="X24" s="177">
        <v>5</v>
      </c>
      <c r="Y24" s="178">
        <v>35</v>
      </c>
      <c r="Z24" s="335" t="s">
        <v>139</v>
      </c>
      <c r="AA24" s="179"/>
      <c r="AB24" s="179"/>
      <c r="AC24" s="180" t="s">
        <v>180</v>
      </c>
    </row>
    <row r="25" spans="1:31" ht="24.6" customHeight="1">
      <c r="A25" s="184"/>
      <c r="B25" s="181" t="s">
        <v>23</v>
      </c>
      <c r="C25" s="174"/>
      <c r="D25" s="174"/>
      <c r="E25" s="174"/>
      <c r="F25" s="335" t="s">
        <v>139</v>
      </c>
      <c r="G25" s="190"/>
      <c r="H25" s="335" t="s">
        <v>139</v>
      </c>
      <c r="I25" s="173" t="s">
        <v>127</v>
      </c>
      <c r="J25" s="173"/>
      <c r="K25" s="335" t="s">
        <v>139</v>
      </c>
      <c r="L25" s="175">
        <v>1</v>
      </c>
      <c r="M25" s="175">
        <v>2</v>
      </c>
      <c r="N25" s="175">
        <v>1</v>
      </c>
      <c r="O25" s="186">
        <v>1</v>
      </c>
      <c r="P25" s="174">
        <v>1</v>
      </c>
      <c r="Q25" s="175">
        <v>1</v>
      </c>
      <c r="R25" s="175"/>
      <c r="S25" s="174">
        <v>9</v>
      </c>
      <c r="T25" s="177">
        <v>1</v>
      </c>
      <c r="U25" s="177">
        <v>1</v>
      </c>
      <c r="V25" s="177">
        <v>1</v>
      </c>
      <c r="W25" s="177">
        <v>1</v>
      </c>
      <c r="X25" s="177">
        <v>4</v>
      </c>
      <c r="Y25" s="178">
        <v>36</v>
      </c>
      <c r="Z25" s="335" t="s">
        <v>139</v>
      </c>
      <c r="AA25" s="179"/>
      <c r="AB25" s="179"/>
      <c r="AC25" s="180" t="s">
        <v>180</v>
      </c>
    </row>
    <row r="26" spans="1:31" ht="24.6" customHeight="1">
      <c r="A26" s="184"/>
      <c r="B26" s="181" t="s">
        <v>27</v>
      </c>
      <c r="C26" s="174"/>
      <c r="D26" s="174"/>
      <c r="E26" s="174"/>
      <c r="F26" s="335" t="s">
        <v>139</v>
      </c>
      <c r="G26" s="190"/>
      <c r="H26" s="335" t="s">
        <v>139</v>
      </c>
      <c r="I26" s="173" t="s">
        <v>127</v>
      </c>
      <c r="J26" s="113"/>
      <c r="K26" s="335" t="s">
        <v>139</v>
      </c>
      <c r="L26" s="175">
        <v>1</v>
      </c>
      <c r="M26" s="182">
        <v>2</v>
      </c>
      <c r="N26" s="182">
        <v>1</v>
      </c>
      <c r="O26" s="182">
        <v>1</v>
      </c>
      <c r="P26" s="175">
        <v>3</v>
      </c>
      <c r="Q26" s="175">
        <v>1</v>
      </c>
      <c r="R26" s="175"/>
      <c r="S26" s="175">
        <v>9</v>
      </c>
      <c r="T26" s="177">
        <v>1</v>
      </c>
      <c r="U26" s="177">
        <v>1</v>
      </c>
      <c r="V26" s="177">
        <v>1</v>
      </c>
      <c r="W26" s="177">
        <v>1</v>
      </c>
      <c r="X26" s="177">
        <v>4</v>
      </c>
      <c r="Y26" s="178">
        <v>36</v>
      </c>
      <c r="Z26" s="335" t="s">
        <v>139</v>
      </c>
      <c r="AA26" s="179"/>
      <c r="AB26" s="179"/>
      <c r="AC26" s="180" t="s">
        <v>180</v>
      </c>
    </row>
    <row r="27" spans="1:31" ht="25.15" customHeight="1">
      <c r="A27" s="184"/>
      <c r="B27" s="181" t="s">
        <v>29</v>
      </c>
      <c r="C27" s="174"/>
      <c r="D27" s="190"/>
      <c r="E27" s="182"/>
      <c r="F27" s="335" t="s">
        <v>139</v>
      </c>
      <c r="G27" s="190"/>
      <c r="H27" s="335" t="s">
        <v>139</v>
      </c>
      <c r="I27" s="173" t="s">
        <v>127</v>
      </c>
      <c r="J27" s="335" t="s">
        <v>139</v>
      </c>
      <c r="K27" s="113"/>
      <c r="L27" s="175">
        <v>1</v>
      </c>
      <c r="M27" s="175">
        <v>2</v>
      </c>
      <c r="N27" s="175">
        <v>1</v>
      </c>
      <c r="O27" s="175">
        <v>1</v>
      </c>
      <c r="P27" s="175">
        <v>3</v>
      </c>
      <c r="Q27" s="175">
        <v>1</v>
      </c>
      <c r="R27" s="175"/>
      <c r="S27" s="174">
        <v>9</v>
      </c>
      <c r="T27" s="177">
        <v>1</v>
      </c>
      <c r="U27" s="177">
        <v>1</v>
      </c>
      <c r="V27" s="177">
        <v>1</v>
      </c>
      <c r="W27" s="177">
        <v>1</v>
      </c>
      <c r="X27" s="177">
        <v>4</v>
      </c>
      <c r="Y27" s="178">
        <v>36</v>
      </c>
      <c r="Z27" s="335" t="s">
        <v>139</v>
      </c>
      <c r="AA27" s="179"/>
      <c r="AB27" s="179"/>
      <c r="AC27" s="180" t="s">
        <v>180</v>
      </c>
    </row>
    <row r="28" spans="1:31" ht="25.15" customHeight="1">
      <c r="A28" s="189" t="s">
        <v>31</v>
      </c>
      <c r="B28" s="181" t="s">
        <v>21</v>
      </c>
      <c r="C28" s="174"/>
      <c r="D28" s="174"/>
      <c r="E28" s="174"/>
      <c r="F28" s="335" t="s">
        <v>139</v>
      </c>
      <c r="G28" s="190"/>
      <c r="H28" s="335" t="s">
        <v>139</v>
      </c>
      <c r="I28" s="173" t="s">
        <v>127</v>
      </c>
      <c r="J28" s="354"/>
      <c r="K28" s="335" t="s">
        <v>139</v>
      </c>
      <c r="L28" s="175">
        <v>1</v>
      </c>
      <c r="M28" s="175">
        <v>2</v>
      </c>
      <c r="N28" s="175">
        <v>1</v>
      </c>
      <c r="O28" s="175">
        <v>1</v>
      </c>
      <c r="P28" s="175">
        <v>1</v>
      </c>
      <c r="Q28" s="175">
        <v>1</v>
      </c>
      <c r="R28" s="175"/>
      <c r="S28" s="174">
        <v>7</v>
      </c>
      <c r="T28" s="176">
        <v>1</v>
      </c>
      <c r="U28" s="177">
        <v>1</v>
      </c>
      <c r="V28" s="177">
        <v>3</v>
      </c>
      <c r="W28" s="177">
        <v>1</v>
      </c>
      <c r="X28" s="177">
        <v>6</v>
      </c>
      <c r="Y28" s="178">
        <v>42</v>
      </c>
      <c r="Z28" s="335" t="s">
        <v>139</v>
      </c>
      <c r="AA28" s="195"/>
      <c r="AB28" s="179"/>
      <c r="AC28" s="180" t="s">
        <v>180</v>
      </c>
    </row>
    <row r="29" spans="1:31" ht="25.15" customHeight="1">
      <c r="A29" s="189" t="s">
        <v>32</v>
      </c>
      <c r="B29" s="181" t="s">
        <v>34</v>
      </c>
      <c r="C29" s="174"/>
      <c r="D29" s="174"/>
      <c r="E29" s="174"/>
      <c r="F29" s="335" t="s">
        <v>139</v>
      </c>
      <c r="G29" s="335" t="s">
        <v>139</v>
      </c>
      <c r="H29" s="193"/>
      <c r="I29" s="183" t="s">
        <v>127</v>
      </c>
      <c r="J29" s="335" t="s">
        <v>139</v>
      </c>
      <c r="K29" s="113"/>
      <c r="L29" s="175">
        <v>1</v>
      </c>
      <c r="M29" s="175">
        <v>2</v>
      </c>
      <c r="N29" s="175">
        <v>1</v>
      </c>
      <c r="O29" s="175">
        <v>1</v>
      </c>
      <c r="P29" s="175">
        <v>3</v>
      </c>
      <c r="Q29" s="175">
        <v>1</v>
      </c>
      <c r="R29" s="175"/>
      <c r="S29" s="174">
        <v>9</v>
      </c>
      <c r="T29" s="177">
        <v>1</v>
      </c>
      <c r="U29" s="177">
        <v>1</v>
      </c>
      <c r="V29" s="177">
        <v>1</v>
      </c>
      <c r="W29" s="177">
        <v>1</v>
      </c>
      <c r="X29" s="355">
        <v>4</v>
      </c>
      <c r="Y29" s="178">
        <v>36</v>
      </c>
      <c r="Z29" s="335" t="s">
        <v>139</v>
      </c>
      <c r="AA29" s="179"/>
      <c r="AB29" s="179"/>
      <c r="AC29" s="180" t="s">
        <v>180</v>
      </c>
    </row>
    <row r="30" spans="1:31" ht="25.15" customHeight="1">
      <c r="A30" s="184"/>
      <c r="B30" s="181" t="s">
        <v>35</v>
      </c>
      <c r="C30" s="174"/>
      <c r="D30" s="174"/>
      <c r="E30" s="174"/>
      <c r="F30" s="335" t="s">
        <v>139</v>
      </c>
      <c r="G30" s="335" t="s">
        <v>139</v>
      </c>
      <c r="H30" s="193"/>
      <c r="I30" s="183" t="s">
        <v>127</v>
      </c>
      <c r="J30" s="335" t="s">
        <v>139</v>
      </c>
      <c r="K30" s="113"/>
      <c r="L30" s="175">
        <v>1</v>
      </c>
      <c r="M30" s="175">
        <v>2</v>
      </c>
      <c r="N30" s="175">
        <v>1</v>
      </c>
      <c r="O30" s="175">
        <v>1</v>
      </c>
      <c r="P30" s="175">
        <v>3</v>
      </c>
      <c r="Q30" s="175">
        <v>1</v>
      </c>
      <c r="R30" s="175"/>
      <c r="S30" s="174">
        <v>9</v>
      </c>
      <c r="T30" s="177">
        <v>1</v>
      </c>
      <c r="U30" s="177">
        <v>1</v>
      </c>
      <c r="V30" s="177">
        <v>1</v>
      </c>
      <c r="W30" s="177">
        <v>1</v>
      </c>
      <c r="X30" s="355">
        <v>4</v>
      </c>
      <c r="Y30" s="178">
        <v>36</v>
      </c>
      <c r="Z30" s="335" t="s">
        <v>139</v>
      </c>
      <c r="AA30" s="179"/>
      <c r="AB30" s="179"/>
      <c r="AC30" s="180" t="s">
        <v>180</v>
      </c>
    </row>
    <row r="31" spans="1:31" ht="25.15" customHeight="1">
      <c r="A31" s="339" t="s">
        <v>36</v>
      </c>
      <c r="B31" s="340" t="s">
        <v>38</v>
      </c>
      <c r="C31" s="341"/>
      <c r="D31" s="342" t="s">
        <v>139</v>
      </c>
      <c r="E31" s="343"/>
      <c r="F31" s="343"/>
      <c r="G31" s="344"/>
      <c r="H31" s="342" t="s">
        <v>139</v>
      </c>
      <c r="I31" s="345" t="s">
        <v>127</v>
      </c>
      <c r="J31" s="342" t="s">
        <v>139</v>
      </c>
      <c r="K31" s="346"/>
      <c r="L31" s="347">
        <v>1</v>
      </c>
      <c r="M31" s="347">
        <v>2</v>
      </c>
      <c r="N31" s="347">
        <v>1</v>
      </c>
      <c r="O31" s="347">
        <v>1</v>
      </c>
      <c r="P31" s="347">
        <v>3</v>
      </c>
      <c r="Q31" s="347">
        <v>1</v>
      </c>
      <c r="R31" s="347">
        <v>1</v>
      </c>
      <c r="S31" s="348">
        <v>10</v>
      </c>
      <c r="T31" s="349">
        <v>1</v>
      </c>
      <c r="U31" s="349">
        <v>1</v>
      </c>
      <c r="V31" s="349">
        <v>1</v>
      </c>
      <c r="W31" s="349">
        <v>1</v>
      </c>
      <c r="X31" s="350">
        <v>4</v>
      </c>
      <c r="Y31" s="351">
        <v>40</v>
      </c>
      <c r="Z31" s="342" t="s">
        <v>139</v>
      </c>
      <c r="AA31" s="352"/>
      <c r="AB31" s="352"/>
      <c r="AC31" s="353" t="s">
        <v>183</v>
      </c>
    </row>
    <row r="32" spans="1:31" ht="24.6" customHeight="1">
      <c r="A32" s="184"/>
      <c r="B32" s="198" t="s">
        <v>40</v>
      </c>
      <c r="C32" s="174"/>
      <c r="D32" s="165"/>
      <c r="E32" s="165"/>
      <c r="F32" s="338" t="s">
        <v>139</v>
      </c>
      <c r="G32" s="160"/>
      <c r="H32" s="338" t="s">
        <v>139</v>
      </c>
      <c r="I32" s="94" t="s">
        <v>127</v>
      </c>
      <c r="J32" s="338" t="s">
        <v>139</v>
      </c>
      <c r="K32" s="94"/>
      <c r="L32" s="163">
        <v>1</v>
      </c>
      <c r="M32" s="163">
        <v>2</v>
      </c>
      <c r="N32" s="163">
        <v>1</v>
      </c>
      <c r="O32" s="163">
        <v>1</v>
      </c>
      <c r="P32" s="163">
        <v>3</v>
      </c>
      <c r="Q32" s="163">
        <v>1</v>
      </c>
      <c r="R32" s="163">
        <v>1</v>
      </c>
      <c r="S32" s="165">
        <v>10</v>
      </c>
      <c r="T32" s="167">
        <v>1</v>
      </c>
      <c r="U32" s="167">
        <v>1</v>
      </c>
      <c r="V32" s="167">
        <v>1</v>
      </c>
      <c r="W32" s="167">
        <v>1</v>
      </c>
      <c r="X32" s="196">
        <v>4</v>
      </c>
      <c r="Y32" s="197">
        <v>40</v>
      </c>
      <c r="Z32" s="338" t="s">
        <v>139</v>
      </c>
      <c r="AA32" s="199"/>
      <c r="AB32" s="199"/>
      <c r="AC32" s="180" t="s">
        <v>180</v>
      </c>
    </row>
    <row r="33" spans="1:29" ht="24.6" customHeight="1">
      <c r="A33" s="189"/>
      <c r="B33" s="159" t="s">
        <v>42</v>
      </c>
      <c r="C33" s="338" t="s">
        <v>139</v>
      </c>
      <c r="D33" s="168"/>
      <c r="E33" s="171"/>
      <c r="F33" s="171"/>
      <c r="G33" s="168"/>
      <c r="H33" s="338" t="s">
        <v>139</v>
      </c>
      <c r="I33" s="173" t="s">
        <v>127</v>
      </c>
      <c r="J33" s="338" t="s">
        <v>139</v>
      </c>
      <c r="K33" s="173"/>
      <c r="L33" s="174">
        <v>1</v>
      </c>
      <c r="M33" s="174">
        <v>3</v>
      </c>
      <c r="N33" s="175">
        <v>1</v>
      </c>
      <c r="O33" s="175">
        <v>1</v>
      </c>
      <c r="P33" s="174">
        <v>3</v>
      </c>
      <c r="Q33" s="175">
        <v>1</v>
      </c>
      <c r="R33" s="175">
        <v>1</v>
      </c>
      <c r="S33" s="174">
        <v>11</v>
      </c>
      <c r="T33" s="167">
        <v>1</v>
      </c>
      <c r="U33" s="167">
        <v>1</v>
      </c>
      <c r="V33" s="167">
        <v>1</v>
      </c>
      <c r="W33" s="167">
        <v>1</v>
      </c>
      <c r="X33" s="200">
        <v>4</v>
      </c>
      <c r="Y33" s="178">
        <v>44</v>
      </c>
      <c r="Z33" s="338" t="s">
        <v>139</v>
      </c>
      <c r="AA33" s="179"/>
      <c r="AB33" s="179"/>
      <c r="AC33" s="180" t="s">
        <v>181</v>
      </c>
    </row>
    <row r="34" spans="1:29" ht="24.6" customHeight="1">
      <c r="A34" s="184"/>
      <c r="B34" s="181" t="s">
        <v>43</v>
      </c>
      <c r="C34" s="338" t="s">
        <v>139</v>
      </c>
      <c r="D34" s="174"/>
      <c r="E34" s="174"/>
      <c r="F34" s="201"/>
      <c r="G34" s="168"/>
      <c r="H34" s="338" t="s">
        <v>139</v>
      </c>
      <c r="I34" s="183" t="s">
        <v>127</v>
      </c>
      <c r="J34" s="338" t="s">
        <v>139</v>
      </c>
      <c r="K34" s="173"/>
      <c r="L34" s="174">
        <v>1</v>
      </c>
      <c r="M34" s="174">
        <v>3</v>
      </c>
      <c r="N34" s="175">
        <v>1</v>
      </c>
      <c r="O34" s="175">
        <v>1</v>
      </c>
      <c r="P34" s="174">
        <v>3</v>
      </c>
      <c r="Q34" s="175">
        <v>1</v>
      </c>
      <c r="R34" s="175">
        <v>1</v>
      </c>
      <c r="S34" s="174">
        <v>11</v>
      </c>
      <c r="T34" s="167">
        <v>1</v>
      </c>
      <c r="U34" s="167">
        <v>1</v>
      </c>
      <c r="V34" s="167">
        <v>1</v>
      </c>
      <c r="W34" s="167">
        <v>1</v>
      </c>
      <c r="X34" s="200">
        <v>4</v>
      </c>
      <c r="Y34" s="178">
        <v>44</v>
      </c>
      <c r="Z34" s="338" t="s">
        <v>139</v>
      </c>
      <c r="AA34" s="179"/>
      <c r="AB34" s="179"/>
      <c r="AC34" s="180" t="s">
        <v>181</v>
      </c>
    </row>
    <row r="35" spans="1:29" ht="24.6" customHeight="1">
      <c r="A35" s="184"/>
      <c r="B35" s="181" t="s">
        <v>44</v>
      </c>
      <c r="C35" s="174"/>
      <c r="D35" s="174"/>
      <c r="E35" s="174"/>
      <c r="F35" s="338" t="s">
        <v>139</v>
      </c>
      <c r="G35" s="168"/>
      <c r="H35" s="338" t="s">
        <v>139</v>
      </c>
      <c r="I35" s="183" t="s">
        <v>127</v>
      </c>
      <c r="J35" s="338" t="s">
        <v>139</v>
      </c>
      <c r="K35" s="202"/>
      <c r="L35" s="174">
        <v>1</v>
      </c>
      <c r="M35" s="174">
        <v>2</v>
      </c>
      <c r="N35" s="175">
        <v>1</v>
      </c>
      <c r="O35" s="175">
        <v>1</v>
      </c>
      <c r="P35" s="174">
        <v>3</v>
      </c>
      <c r="Q35" s="175">
        <v>1</v>
      </c>
      <c r="R35" s="175">
        <v>1</v>
      </c>
      <c r="S35" s="174">
        <v>10</v>
      </c>
      <c r="T35" s="167">
        <v>1</v>
      </c>
      <c r="U35" s="167">
        <v>1</v>
      </c>
      <c r="V35" s="167">
        <v>1</v>
      </c>
      <c r="W35" s="167">
        <v>1</v>
      </c>
      <c r="X35" s="200">
        <v>4</v>
      </c>
      <c r="Y35" s="178">
        <v>40</v>
      </c>
      <c r="Z35" s="338" t="s">
        <v>139</v>
      </c>
      <c r="AA35" s="179"/>
      <c r="AB35" s="179"/>
      <c r="AC35" s="180" t="s">
        <v>180</v>
      </c>
    </row>
    <row r="36" spans="1:29" ht="24.6" customHeight="1">
      <c r="A36" s="189" t="s">
        <v>184</v>
      </c>
      <c r="B36" s="203" t="s">
        <v>48</v>
      </c>
      <c r="C36" s="182"/>
      <c r="D36" s="168"/>
      <c r="E36" s="182"/>
      <c r="F36" s="338" t="s">
        <v>139</v>
      </c>
      <c r="G36" s="168"/>
      <c r="H36" s="338" t="s">
        <v>139</v>
      </c>
      <c r="I36" s="173" t="s">
        <v>127</v>
      </c>
      <c r="J36" s="113"/>
      <c r="K36" s="338" t="s">
        <v>139</v>
      </c>
      <c r="L36" s="175">
        <v>1</v>
      </c>
      <c r="M36" s="182">
        <v>2</v>
      </c>
      <c r="N36" s="182">
        <v>1</v>
      </c>
      <c r="O36" s="182">
        <v>1</v>
      </c>
      <c r="P36" s="175">
        <v>3</v>
      </c>
      <c r="Q36" s="175">
        <v>1</v>
      </c>
      <c r="R36" s="187"/>
      <c r="S36" s="187">
        <v>9</v>
      </c>
      <c r="T36" s="177">
        <v>1</v>
      </c>
      <c r="U36" s="177">
        <v>1</v>
      </c>
      <c r="V36" s="177">
        <v>1</v>
      </c>
      <c r="W36" s="177">
        <v>1</v>
      </c>
      <c r="X36" s="177">
        <v>4</v>
      </c>
      <c r="Y36" s="188">
        <v>36</v>
      </c>
      <c r="Z36" s="338" t="s">
        <v>139</v>
      </c>
      <c r="AA36" s="179"/>
      <c r="AB36" s="179"/>
      <c r="AC36" s="180" t="s">
        <v>180</v>
      </c>
    </row>
    <row r="37" spans="1:29" ht="24.6" customHeight="1">
      <c r="A37" s="189"/>
      <c r="B37" s="204" t="s">
        <v>49</v>
      </c>
      <c r="C37" s="182"/>
      <c r="D37" s="182"/>
      <c r="E37" s="182"/>
      <c r="F37" s="338" t="s">
        <v>139</v>
      </c>
      <c r="G37" s="338" t="s">
        <v>139</v>
      </c>
      <c r="H37" s="168"/>
      <c r="I37" s="173" t="s">
        <v>127</v>
      </c>
      <c r="J37" s="338" t="s">
        <v>139</v>
      </c>
      <c r="K37" s="113"/>
      <c r="L37" s="175">
        <v>1</v>
      </c>
      <c r="M37" s="175">
        <v>2</v>
      </c>
      <c r="N37" s="175">
        <v>1</v>
      </c>
      <c r="O37" s="175">
        <v>1</v>
      </c>
      <c r="P37" s="175">
        <v>3</v>
      </c>
      <c r="Q37" s="175">
        <v>1</v>
      </c>
      <c r="R37" s="175"/>
      <c r="S37" s="174">
        <v>9</v>
      </c>
      <c r="T37" s="177">
        <v>1</v>
      </c>
      <c r="U37" s="177">
        <v>1</v>
      </c>
      <c r="V37" s="177">
        <v>1</v>
      </c>
      <c r="W37" s="177">
        <v>1</v>
      </c>
      <c r="X37" s="177">
        <v>4</v>
      </c>
      <c r="Y37" s="188">
        <v>36</v>
      </c>
      <c r="Z37" s="338" t="s">
        <v>139</v>
      </c>
      <c r="AA37" s="179"/>
      <c r="AB37" s="179"/>
      <c r="AC37" s="180" t="s">
        <v>180</v>
      </c>
    </row>
    <row r="38" spans="1:29" ht="24.6" customHeight="1">
      <c r="A38" s="184"/>
      <c r="B38" s="203" t="s">
        <v>50</v>
      </c>
      <c r="C38" s="338" t="s">
        <v>139</v>
      </c>
      <c r="D38" s="182"/>
      <c r="E38" s="182"/>
      <c r="F38" s="205"/>
      <c r="G38" s="338" t="s">
        <v>139</v>
      </c>
      <c r="H38" s="185"/>
      <c r="I38" s="183" t="s">
        <v>127</v>
      </c>
      <c r="J38" s="183"/>
      <c r="K38" s="338" t="s">
        <v>139</v>
      </c>
      <c r="L38" s="175">
        <v>1</v>
      </c>
      <c r="M38" s="175">
        <v>2</v>
      </c>
      <c r="N38" s="175">
        <v>1</v>
      </c>
      <c r="O38" s="175">
        <v>2</v>
      </c>
      <c r="P38" s="175">
        <v>3</v>
      </c>
      <c r="Q38" s="175">
        <v>1</v>
      </c>
      <c r="R38" s="175"/>
      <c r="S38" s="174">
        <v>10</v>
      </c>
      <c r="T38" s="176">
        <v>1</v>
      </c>
      <c r="U38" s="177">
        <v>1</v>
      </c>
      <c r="V38" s="177">
        <v>1</v>
      </c>
      <c r="W38" s="177">
        <v>1</v>
      </c>
      <c r="X38" s="177">
        <v>4</v>
      </c>
      <c r="Y38" s="178">
        <v>44</v>
      </c>
      <c r="Z38" s="338" t="s">
        <v>139</v>
      </c>
      <c r="AA38" s="179"/>
      <c r="AB38" s="179"/>
      <c r="AC38" s="180" t="s">
        <v>181</v>
      </c>
    </row>
    <row r="39" spans="1:29" ht="24.6" customHeight="1">
      <c r="A39" s="52"/>
      <c r="B39" s="181" t="s">
        <v>51</v>
      </c>
      <c r="C39" s="174"/>
      <c r="D39" s="168"/>
      <c r="E39" s="182"/>
      <c r="F39" s="338" t="s">
        <v>139</v>
      </c>
      <c r="G39" s="338" t="s">
        <v>139</v>
      </c>
      <c r="H39" s="168"/>
      <c r="I39" s="183" t="s">
        <v>127</v>
      </c>
      <c r="J39" s="338" t="s">
        <v>139</v>
      </c>
      <c r="K39" s="202"/>
      <c r="L39" s="174">
        <v>1</v>
      </c>
      <c r="M39" s="174">
        <v>2</v>
      </c>
      <c r="N39" s="175">
        <v>1</v>
      </c>
      <c r="O39" s="175">
        <v>1</v>
      </c>
      <c r="P39" s="174">
        <v>3</v>
      </c>
      <c r="Q39" s="175">
        <v>1</v>
      </c>
      <c r="R39" s="175">
        <v>1</v>
      </c>
      <c r="S39" s="174">
        <v>10</v>
      </c>
      <c r="T39" s="167">
        <v>1</v>
      </c>
      <c r="U39" s="167">
        <v>1</v>
      </c>
      <c r="V39" s="167">
        <v>1</v>
      </c>
      <c r="W39" s="167">
        <v>1</v>
      </c>
      <c r="X39" s="200">
        <v>4</v>
      </c>
      <c r="Y39" s="178">
        <v>40</v>
      </c>
      <c r="Z39" s="338" t="s">
        <v>139</v>
      </c>
      <c r="AA39" s="179"/>
      <c r="AB39" s="179"/>
      <c r="AC39" s="180" t="s">
        <v>180</v>
      </c>
    </row>
    <row r="40" spans="1:29" ht="24.6" customHeight="1">
      <c r="A40" s="206" t="s">
        <v>52</v>
      </c>
      <c r="B40" s="159" t="s">
        <v>55</v>
      </c>
      <c r="C40" s="101"/>
      <c r="D40" s="101"/>
      <c r="E40" s="101"/>
      <c r="F40" s="338" t="s">
        <v>139</v>
      </c>
      <c r="G40" s="338" t="s">
        <v>139</v>
      </c>
      <c r="H40" s="161"/>
      <c r="I40" s="162" t="s">
        <v>147</v>
      </c>
      <c r="J40" s="338" t="s">
        <v>139</v>
      </c>
      <c r="K40" s="162"/>
      <c r="L40" s="163">
        <v>1</v>
      </c>
      <c r="M40" s="163">
        <v>1</v>
      </c>
      <c r="N40" s="163">
        <v>1</v>
      </c>
      <c r="O40" s="163">
        <v>1</v>
      </c>
      <c r="P40" s="163">
        <v>3</v>
      </c>
      <c r="Q40" s="163">
        <v>1</v>
      </c>
      <c r="R40" s="163"/>
      <c r="S40" s="165">
        <v>8</v>
      </c>
      <c r="T40" s="166">
        <v>1</v>
      </c>
      <c r="U40" s="167">
        <v>3</v>
      </c>
      <c r="V40" s="167">
        <v>1</v>
      </c>
      <c r="W40" s="167">
        <v>1</v>
      </c>
      <c r="X40" s="167">
        <v>6</v>
      </c>
      <c r="Y40" s="208">
        <v>48</v>
      </c>
      <c r="Z40" s="338" t="s">
        <v>139</v>
      </c>
      <c r="AA40" s="207"/>
      <c r="AB40" s="209"/>
      <c r="AC40" s="210" t="s">
        <v>185</v>
      </c>
    </row>
    <row r="41" spans="1:29" ht="24.6" customHeight="1">
      <c r="A41" s="211"/>
      <c r="B41" s="212" t="s">
        <v>57</v>
      </c>
      <c r="C41" s="171"/>
      <c r="D41" s="338" t="s">
        <v>139</v>
      </c>
      <c r="E41" s="171"/>
      <c r="F41" s="213"/>
      <c r="G41" s="338" t="s">
        <v>139</v>
      </c>
      <c r="H41" s="172"/>
      <c r="I41" s="36" t="s">
        <v>127</v>
      </c>
      <c r="J41" s="338" t="s">
        <v>139</v>
      </c>
      <c r="K41" s="36"/>
      <c r="L41" s="174">
        <v>1</v>
      </c>
      <c r="M41" s="175">
        <v>1</v>
      </c>
      <c r="N41" s="175">
        <v>1</v>
      </c>
      <c r="O41" s="175">
        <v>1</v>
      </c>
      <c r="P41" s="175">
        <v>3</v>
      </c>
      <c r="Q41" s="175">
        <v>1</v>
      </c>
      <c r="R41" s="175"/>
      <c r="S41" s="174">
        <v>8</v>
      </c>
      <c r="T41" s="176">
        <v>1</v>
      </c>
      <c r="U41" s="177">
        <v>3</v>
      </c>
      <c r="V41" s="177">
        <v>1</v>
      </c>
      <c r="W41" s="177">
        <v>1</v>
      </c>
      <c r="X41" s="177">
        <v>6</v>
      </c>
      <c r="Y41" s="186">
        <v>48</v>
      </c>
      <c r="Z41" s="338" t="s">
        <v>139</v>
      </c>
      <c r="AA41" s="213"/>
      <c r="AB41" s="179"/>
      <c r="AC41" s="210" t="s">
        <v>186</v>
      </c>
    </row>
    <row r="42" spans="1:29" ht="22.15" customHeight="1">
      <c r="A42" s="189"/>
      <c r="B42" s="214" t="s">
        <v>59</v>
      </c>
      <c r="C42" s="174"/>
      <c r="D42" s="174"/>
      <c r="E42" s="174"/>
      <c r="F42" s="338" t="s">
        <v>139</v>
      </c>
      <c r="G42" s="338" t="s">
        <v>139</v>
      </c>
      <c r="H42" s="160"/>
      <c r="I42" s="94" t="s">
        <v>127</v>
      </c>
      <c r="J42" s="338" t="s">
        <v>139</v>
      </c>
      <c r="K42" s="94"/>
      <c r="L42" s="163">
        <v>1</v>
      </c>
      <c r="M42" s="163">
        <v>2</v>
      </c>
      <c r="N42" s="163">
        <v>1</v>
      </c>
      <c r="O42" s="163">
        <v>1</v>
      </c>
      <c r="P42" s="163">
        <v>3</v>
      </c>
      <c r="Q42" s="163">
        <v>1</v>
      </c>
      <c r="R42" s="163">
        <v>1</v>
      </c>
      <c r="S42" s="165">
        <v>10</v>
      </c>
      <c r="T42" s="167">
        <v>1</v>
      </c>
      <c r="U42" s="167">
        <v>1</v>
      </c>
      <c r="V42" s="167">
        <v>1</v>
      </c>
      <c r="W42" s="167">
        <v>1</v>
      </c>
      <c r="X42" s="196">
        <v>4</v>
      </c>
      <c r="Y42" s="197">
        <v>40</v>
      </c>
      <c r="Z42" s="338" t="s">
        <v>139</v>
      </c>
      <c r="AA42" s="179"/>
      <c r="AB42" s="179"/>
      <c r="AC42" s="180" t="s">
        <v>180</v>
      </c>
    </row>
    <row r="43" spans="1:29" ht="24.6" customHeight="1">
      <c r="A43" s="189" t="s">
        <v>61</v>
      </c>
      <c r="B43" s="181" t="s">
        <v>57</v>
      </c>
      <c r="C43" s="193"/>
      <c r="D43" s="338" t="s">
        <v>139</v>
      </c>
      <c r="E43" s="193"/>
      <c r="F43" s="168"/>
      <c r="G43" s="192"/>
      <c r="H43" s="338" t="s">
        <v>139</v>
      </c>
      <c r="I43" s="183" t="s">
        <v>127</v>
      </c>
      <c r="J43" s="338" t="s">
        <v>139</v>
      </c>
      <c r="K43" s="173"/>
      <c r="L43" s="163">
        <v>1</v>
      </c>
      <c r="M43" s="163">
        <v>2</v>
      </c>
      <c r="N43" s="163">
        <v>1</v>
      </c>
      <c r="O43" s="163">
        <v>1</v>
      </c>
      <c r="P43" s="163">
        <v>3</v>
      </c>
      <c r="Q43" s="163">
        <v>1</v>
      </c>
      <c r="R43" s="163">
        <v>1</v>
      </c>
      <c r="S43" s="165">
        <v>10</v>
      </c>
      <c r="T43" s="167">
        <v>1</v>
      </c>
      <c r="U43" s="167">
        <v>1</v>
      </c>
      <c r="V43" s="167">
        <v>1</v>
      </c>
      <c r="W43" s="167">
        <v>1</v>
      </c>
      <c r="X43" s="196">
        <v>4</v>
      </c>
      <c r="Y43" s="197">
        <v>40</v>
      </c>
      <c r="Z43" s="338" t="s">
        <v>139</v>
      </c>
      <c r="AA43" s="179"/>
      <c r="AB43" s="179"/>
      <c r="AC43" s="180" t="s">
        <v>183</v>
      </c>
    </row>
    <row r="44" spans="1:29" ht="24" customHeight="1">
      <c r="A44" s="215"/>
      <c r="B44" s="159" t="s">
        <v>42</v>
      </c>
      <c r="C44" s="338" t="s">
        <v>139</v>
      </c>
      <c r="D44" s="193"/>
      <c r="E44" s="193"/>
      <c r="F44" s="168"/>
      <c r="G44" s="192"/>
      <c r="H44" s="338" t="s">
        <v>139</v>
      </c>
      <c r="I44" s="183" t="s">
        <v>127</v>
      </c>
      <c r="J44" s="338" t="s">
        <v>139</v>
      </c>
      <c r="K44" s="173"/>
      <c r="L44" s="174">
        <v>1</v>
      </c>
      <c r="M44" s="174">
        <v>3</v>
      </c>
      <c r="N44" s="175">
        <v>1</v>
      </c>
      <c r="O44" s="175">
        <v>1</v>
      </c>
      <c r="P44" s="174">
        <v>3</v>
      </c>
      <c r="Q44" s="175">
        <v>1</v>
      </c>
      <c r="R44" s="175">
        <v>1</v>
      </c>
      <c r="S44" s="174">
        <v>11</v>
      </c>
      <c r="T44" s="167">
        <v>1</v>
      </c>
      <c r="U44" s="167">
        <v>1</v>
      </c>
      <c r="V44" s="167">
        <v>1</v>
      </c>
      <c r="W44" s="167">
        <v>1</v>
      </c>
      <c r="X44" s="200">
        <v>4</v>
      </c>
      <c r="Y44" s="178">
        <v>44</v>
      </c>
      <c r="Z44" s="338" t="s">
        <v>139</v>
      </c>
      <c r="AA44" s="179"/>
      <c r="AB44" s="179"/>
      <c r="AC44" s="180" t="s">
        <v>181</v>
      </c>
    </row>
    <row r="45" spans="1:29" ht="24" customHeight="1">
      <c r="A45" s="215"/>
      <c r="B45" s="214" t="s">
        <v>43</v>
      </c>
      <c r="C45" s="338" t="s">
        <v>139</v>
      </c>
      <c r="D45" s="216"/>
      <c r="E45" s="216"/>
      <c r="F45" s="160"/>
      <c r="G45" s="217"/>
      <c r="H45" s="338" t="s">
        <v>139</v>
      </c>
      <c r="I45" s="218" t="s">
        <v>127</v>
      </c>
      <c r="J45" s="338" t="s">
        <v>139</v>
      </c>
      <c r="K45" s="94"/>
      <c r="L45" s="165">
        <v>1</v>
      </c>
      <c r="M45" s="165">
        <v>3</v>
      </c>
      <c r="N45" s="163">
        <v>1</v>
      </c>
      <c r="O45" s="163">
        <v>1</v>
      </c>
      <c r="P45" s="165">
        <v>3</v>
      </c>
      <c r="Q45" s="338" t="s">
        <v>139</v>
      </c>
      <c r="R45" s="163">
        <v>1</v>
      </c>
      <c r="S45" s="165">
        <v>11</v>
      </c>
      <c r="T45" s="167">
        <v>1</v>
      </c>
      <c r="U45" s="167">
        <v>1</v>
      </c>
      <c r="V45" s="167">
        <v>1</v>
      </c>
      <c r="W45" s="167">
        <v>1</v>
      </c>
      <c r="X45" s="200">
        <v>4</v>
      </c>
      <c r="Y45" s="96">
        <v>44</v>
      </c>
      <c r="Z45" s="338" t="s">
        <v>139</v>
      </c>
      <c r="AA45" s="179"/>
      <c r="AB45" s="179"/>
      <c r="AC45" s="180" t="s">
        <v>181</v>
      </c>
    </row>
    <row r="46" spans="1:29" ht="24" customHeight="1">
      <c r="A46" s="189"/>
      <c r="B46" s="198" t="s">
        <v>64</v>
      </c>
      <c r="C46" s="193"/>
      <c r="D46" s="193"/>
      <c r="E46" s="193"/>
      <c r="F46" s="338" t="s">
        <v>139</v>
      </c>
      <c r="G46" s="168"/>
      <c r="H46" s="338" t="s">
        <v>139</v>
      </c>
      <c r="I46" s="183" t="s">
        <v>127</v>
      </c>
      <c r="J46" s="338" t="s">
        <v>139</v>
      </c>
      <c r="K46" s="94"/>
      <c r="L46" s="165">
        <v>1</v>
      </c>
      <c r="M46" s="165">
        <v>2</v>
      </c>
      <c r="N46" s="163">
        <v>1</v>
      </c>
      <c r="O46" s="163">
        <v>1</v>
      </c>
      <c r="P46" s="165">
        <v>3</v>
      </c>
      <c r="Q46" s="163">
        <v>1</v>
      </c>
      <c r="R46" s="163">
        <v>1</v>
      </c>
      <c r="S46" s="165">
        <v>10</v>
      </c>
      <c r="T46" s="167">
        <v>1</v>
      </c>
      <c r="U46" s="167">
        <v>1</v>
      </c>
      <c r="V46" s="167">
        <v>1</v>
      </c>
      <c r="W46" s="167">
        <v>1</v>
      </c>
      <c r="X46" s="200">
        <v>4</v>
      </c>
      <c r="Y46" s="96">
        <v>40</v>
      </c>
      <c r="Z46" s="338" t="s">
        <v>139</v>
      </c>
      <c r="AA46" s="179"/>
      <c r="AB46" s="179"/>
      <c r="AC46" s="180" t="s">
        <v>180</v>
      </c>
    </row>
    <row r="47" spans="1:29" ht="24" customHeight="1">
      <c r="A47" s="215"/>
      <c r="B47" s="198" t="s">
        <v>65</v>
      </c>
      <c r="C47" s="193"/>
      <c r="D47" s="193"/>
      <c r="E47" s="193"/>
      <c r="F47" s="338" t="s">
        <v>139</v>
      </c>
      <c r="G47" s="168"/>
      <c r="H47" s="338" t="s">
        <v>139</v>
      </c>
      <c r="I47" s="183" t="s">
        <v>127</v>
      </c>
      <c r="J47" s="338" t="s">
        <v>139</v>
      </c>
      <c r="K47" s="94"/>
      <c r="L47" s="165">
        <v>1</v>
      </c>
      <c r="M47" s="165">
        <v>2</v>
      </c>
      <c r="N47" s="163">
        <v>1</v>
      </c>
      <c r="O47" s="163">
        <v>1</v>
      </c>
      <c r="P47" s="165">
        <v>3</v>
      </c>
      <c r="Q47" s="163">
        <v>1</v>
      </c>
      <c r="R47" s="163">
        <v>1</v>
      </c>
      <c r="S47" s="165">
        <v>10</v>
      </c>
      <c r="T47" s="167">
        <v>1</v>
      </c>
      <c r="U47" s="167">
        <v>1</v>
      </c>
      <c r="V47" s="167">
        <v>1</v>
      </c>
      <c r="W47" s="167">
        <v>1</v>
      </c>
      <c r="X47" s="200">
        <v>4</v>
      </c>
      <c r="Y47" s="96">
        <v>40</v>
      </c>
      <c r="Z47" s="338" t="s">
        <v>139</v>
      </c>
      <c r="AA47" s="179"/>
      <c r="AB47" s="179"/>
      <c r="AC47" s="180" t="s">
        <v>180</v>
      </c>
    </row>
    <row r="48" spans="1:29" ht="27" customHeight="1">
      <c r="A48" s="189" t="s">
        <v>66</v>
      </c>
      <c r="B48" s="181" t="s">
        <v>68</v>
      </c>
      <c r="C48" s="193"/>
      <c r="D48" s="193"/>
      <c r="E48" s="193"/>
      <c r="F48" s="338" t="s">
        <v>139</v>
      </c>
      <c r="G48" s="338" t="s">
        <v>139</v>
      </c>
      <c r="H48" s="191"/>
      <c r="I48" s="183" t="s">
        <v>127</v>
      </c>
      <c r="J48" s="338" t="s">
        <v>139</v>
      </c>
      <c r="K48" s="117"/>
      <c r="L48" s="219">
        <v>1</v>
      </c>
      <c r="M48" s="175">
        <v>2</v>
      </c>
      <c r="N48" s="175">
        <v>1</v>
      </c>
      <c r="O48" s="219">
        <v>1</v>
      </c>
      <c r="P48" s="219">
        <v>2</v>
      </c>
      <c r="Q48" s="219">
        <v>1</v>
      </c>
      <c r="R48" s="220"/>
      <c r="S48" s="221">
        <v>8</v>
      </c>
      <c r="T48" s="175">
        <v>1</v>
      </c>
      <c r="U48" s="179">
        <v>1</v>
      </c>
      <c r="V48" s="179">
        <v>2</v>
      </c>
      <c r="W48" s="179">
        <v>1</v>
      </c>
      <c r="X48" s="179">
        <v>5</v>
      </c>
      <c r="Y48" s="186">
        <v>40</v>
      </c>
      <c r="Z48" s="338" t="s">
        <v>139</v>
      </c>
      <c r="AA48" s="179"/>
      <c r="AB48" s="179"/>
      <c r="AC48" s="180" t="s">
        <v>180</v>
      </c>
    </row>
    <row r="49" spans="1:29" ht="22.9" customHeight="1">
      <c r="A49" s="189"/>
      <c r="B49" s="181" t="s">
        <v>69</v>
      </c>
      <c r="C49" s="168"/>
      <c r="D49" s="193"/>
      <c r="E49" s="193"/>
      <c r="F49" s="338" t="s">
        <v>139</v>
      </c>
      <c r="G49" s="338" t="s">
        <v>139</v>
      </c>
      <c r="H49" s="191"/>
      <c r="I49" s="183" t="s">
        <v>127</v>
      </c>
      <c r="J49" s="338" t="s">
        <v>139</v>
      </c>
      <c r="K49" s="222"/>
      <c r="L49" s="219">
        <v>1</v>
      </c>
      <c r="M49" s="175">
        <v>2</v>
      </c>
      <c r="N49" s="175">
        <v>1</v>
      </c>
      <c r="O49" s="219">
        <v>1</v>
      </c>
      <c r="P49" s="219">
        <v>2</v>
      </c>
      <c r="Q49" s="219">
        <v>1</v>
      </c>
      <c r="R49" s="220"/>
      <c r="S49" s="221">
        <v>8</v>
      </c>
      <c r="T49" s="175">
        <v>1</v>
      </c>
      <c r="U49" s="179">
        <v>1</v>
      </c>
      <c r="V49" s="179">
        <v>1</v>
      </c>
      <c r="W49" s="179">
        <v>1</v>
      </c>
      <c r="X49" s="179">
        <v>4</v>
      </c>
      <c r="Y49" s="186">
        <v>32</v>
      </c>
      <c r="Z49" s="338" t="s">
        <v>139</v>
      </c>
      <c r="AA49" s="168"/>
      <c r="AB49" s="179"/>
      <c r="AC49" s="180" t="s">
        <v>180</v>
      </c>
    </row>
    <row r="50" spans="1:29" ht="23.45" customHeight="1">
      <c r="A50" s="52"/>
      <c r="B50" s="198" t="s">
        <v>70</v>
      </c>
      <c r="C50" s="160"/>
      <c r="D50" s="216"/>
      <c r="E50" s="216"/>
      <c r="F50" s="338" t="s">
        <v>139</v>
      </c>
      <c r="G50" s="338" t="s">
        <v>139</v>
      </c>
      <c r="H50" s="223"/>
      <c r="I50" s="218" t="s">
        <v>127</v>
      </c>
      <c r="J50" s="338" t="s">
        <v>139</v>
      </c>
      <c r="K50" s="224"/>
      <c r="L50" s="225">
        <v>1</v>
      </c>
      <c r="M50" s="163">
        <v>2</v>
      </c>
      <c r="N50" s="163">
        <v>1</v>
      </c>
      <c r="O50" s="225">
        <v>1</v>
      </c>
      <c r="P50" s="225">
        <v>2</v>
      </c>
      <c r="Q50" s="225">
        <v>1</v>
      </c>
      <c r="R50" s="226"/>
      <c r="S50" s="227">
        <v>8</v>
      </c>
      <c r="T50" s="163">
        <v>1</v>
      </c>
      <c r="U50" s="199">
        <v>1</v>
      </c>
      <c r="V50" s="199">
        <v>1</v>
      </c>
      <c r="W50" s="199">
        <v>1</v>
      </c>
      <c r="X50" s="199">
        <v>4</v>
      </c>
      <c r="Y50" s="208">
        <v>32</v>
      </c>
      <c r="Z50" s="338" t="s">
        <v>139</v>
      </c>
      <c r="AA50" s="168"/>
      <c r="AB50" s="179"/>
      <c r="AC50" s="180" t="s">
        <v>180</v>
      </c>
    </row>
    <row r="51" spans="1:29" s="357" customFormat="1" ht="60.6" customHeight="1">
      <c r="A51" s="158" t="s">
        <v>71</v>
      </c>
      <c r="B51" s="159" t="s">
        <v>57</v>
      </c>
      <c r="C51" s="216"/>
      <c r="D51" s="338" t="s">
        <v>139</v>
      </c>
      <c r="E51" s="160"/>
      <c r="F51" s="160"/>
      <c r="G51" s="160"/>
      <c r="H51" s="338" t="s">
        <v>139</v>
      </c>
      <c r="I51" s="218" t="s">
        <v>127</v>
      </c>
      <c r="J51" s="338" t="s">
        <v>139</v>
      </c>
      <c r="K51" s="218"/>
      <c r="L51" s="225">
        <v>1</v>
      </c>
      <c r="M51" s="163">
        <v>2</v>
      </c>
      <c r="N51" s="163">
        <v>1</v>
      </c>
      <c r="O51" s="225">
        <v>1</v>
      </c>
      <c r="P51" s="225">
        <v>2</v>
      </c>
      <c r="Q51" s="225">
        <v>1</v>
      </c>
      <c r="R51" s="226"/>
      <c r="S51" s="227">
        <v>8</v>
      </c>
      <c r="T51" s="163">
        <v>1</v>
      </c>
      <c r="U51" s="199">
        <v>1</v>
      </c>
      <c r="V51" s="199">
        <v>1</v>
      </c>
      <c r="W51" s="199">
        <v>1</v>
      </c>
      <c r="X51" s="199">
        <v>4</v>
      </c>
      <c r="Y51" s="208">
        <v>32</v>
      </c>
      <c r="Z51" s="338" t="s">
        <v>139</v>
      </c>
      <c r="AA51" s="160"/>
      <c r="AB51" s="199"/>
      <c r="AC51" s="169" t="s">
        <v>187</v>
      </c>
    </row>
    <row r="52" spans="1:29" ht="24" customHeight="1">
      <c r="A52" s="215"/>
      <c r="B52" s="181" t="s">
        <v>73</v>
      </c>
      <c r="C52" s="338" t="s">
        <v>139</v>
      </c>
      <c r="D52" s="193"/>
      <c r="E52" s="168"/>
      <c r="F52" s="168"/>
      <c r="G52" s="168"/>
      <c r="H52" s="338" t="s">
        <v>139</v>
      </c>
      <c r="I52" s="183" t="s">
        <v>127</v>
      </c>
      <c r="J52" s="338" t="s">
        <v>139</v>
      </c>
      <c r="K52" s="183"/>
      <c r="L52" s="175">
        <v>1</v>
      </c>
      <c r="M52" s="175">
        <v>3</v>
      </c>
      <c r="N52" s="175">
        <v>1</v>
      </c>
      <c r="O52" s="175">
        <v>1</v>
      </c>
      <c r="P52" s="175">
        <v>1</v>
      </c>
      <c r="Q52" s="175">
        <v>1</v>
      </c>
      <c r="R52" s="175"/>
      <c r="S52" s="174">
        <v>8</v>
      </c>
      <c r="T52" s="164">
        <v>1</v>
      </c>
      <c r="U52" s="199">
        <v>1</v>
      </c>
      <c r="V52" s="199">
        <v>1</v>
      </c>
      <c r="W52" s="199">
        <v>1</v>
      </c>
      <c r="X52" s="199">
        <v>4</v>
      </c>
      <c r="Y52" s="208">
        <v>32</v>
      </c>
      <c r="Z52" s="338" t="s">
        <v>139</v>
      </c>
      <c r="AA52" s="178"/>
      <c r="AB52" s="179"/>
      <c r="AC52" s="180" t="s">
        <v>181</v>
      </c>
    </row>
    <row r="53" spans="1:29" ht="24" customHeight="1">
      <c r="A53" s="215"/>
      <c r="B53" s="181" t="s">
        <v>77</v>
      </c>
      <c r="C53" s="193"/>
      <c r="D53" s="193"/>
      <c r="E53" s="168"/>
      <c r="F53" s="338" t="s">
        <v>139</v>
      </c>
      <c r="G53" s="168"/>
      <c r="H53" s="338" t="s">
        <v>139</v>
      </c>
      <c r="I53" s="183" t="s">
        <v>127</v>
      </c>
      <c r="J53" s="338" t="s">
        <v>139</v>
      </c>
      <c r="K53" s="183"/>
      <c r="L53" s="225">
        <v>1</v>
      </c>
      <c r="M53" s="163">
        <v>2</v>
      </c>
      <c r="N53" s="163">
        <v>1</v>
      </c>
      <c r="O53" s="225">
        <v>1</v>
      </c>
      <c r="P53" s="225">
        <v>2</v>
      </c>
      <c r="Q53" s="225">
        <v>1</v>
      </c>
      <c r="R53" s="226"/>
      <c r="S53" s="227">
        <v>8</v>
      </c>
      <c r="T53" s="163">
        <v>1</v>
      </c>
      <c r="U53" s="199">
        <v>1</v>
      </c>
      <c r="V53" s="199">
        <v>1</v>
      </c>
      <c r="W53" s="199">
        <v>1</v>
      </c>
      <c r="X53" s="199">
        <v>4</v>
      </c>
      <c r="Y53" s="208">
        <v>32</v>
      </c>
      <c r="Z53" s="338" t="s">
        <v>139</v>
      </c>
      <c r="AA53" s="168"/>
      <c r="AB53" s="179"/>
      <c r="AC53" s="180" t="s">
        <v>180</v>
      </c>
    </row>
    <row r="54" spans="1:29" ht="24" customHeight="1">
      <c r="A54" s="52"/>
      <c r="B54" s="181" t="s">
        <v>78</v>
      </c>
      <c r="C54" s="193"/>
      <c r="D54" s="168"/>
      <c r="E54" s="182"/>
      <c r="F54" s="338" t="s">
        <v>139</v>
      </c>
      <c r="G54" s="168"/>
      <c r="H54" s="338" t="s">
        <v>139</v>
      </c>
      <c r="I54" s="183" t="s">
        <v>127</v>
      </c>
      <c r="J54" s="183"/>
      <c r="K54" s="338" t="s">
        <v>139</v>
      </c>
      <c r="L54" s="175">
        <v>1</v>
      </c>
      <c r="M54" s="175">
        <v>2</v>
      </c>
      <c r="N54" s="175">
        <v>1</v>
      </c>
      <c r="O54" s="175">
        <v>1</v>
      </c>
      <c r="P54" s="175">
        <v>2</v>
      </c>
      <c r="Q54" s="175">
        <v>1</v>
      </c>
      <c r="R54" s="175"/>
      <c r="S54" s="174">
        <v>8</v>
      </c>
      <c r="T54" s="176">
        <v>1</v>
      </c>
      <c r="U54" s="177">
        <v>1</v>
      </c>
      <c r="V54" s="177">
        <v>2</v>
      </c>
      <c r="W54" s="177">
        <v>1</v>
      </c>
      <c r="X54" s="177">
        <v>5</v>
      </c>
      <c r="Y54" s="178">
        <v>40</v>
      </c>
      <c r="Z54" s="338" t="s">
        <v>139</v>
      </c>
      <c r="AA54" s="179"/>
      <c r="AB54" s="179"/>
      <c r="AC54" s="180" t="s">
        <v>180</v>
      </c>
    </row>
    <row r="55" spans="1:29" s="357" customFormat="1" ht="36" customHeight="1">
      <c r="A55" s="149" t="s">
        <v>188</v>
      </c>
      <c r="B55" s="237" t="s">
        <v>82</v>
      </c>
      <c r="C55" s="338" t="s">
        <v>139</v>
      </c>
      <c r="D55" s="101"/>
      <c r="E55" s="101"/>
      <c r="F55" s="101"/>
      <c r="G55" s="338" t="s">
        <v>139</v>
      </c>
      <c r="H55" s="358"/>
      <c r="I55" s="218" t="s">
        <v>127</v>
      </c>
      <c r="J55" s="338" t="s">
        <v>139</v>
      </c>
      <c r="K55" s="218"/>
      <c r="L55" s="163">
        <v>1</v>
      </c>
      <c r="M55" s="163">
        <v>3</v>
      </c>
      <c r="N55" s="163">
        <v>1</v>
      </c>
      <c r="O55" s="163">
        <v>1</v>
      </c>
      <c r="P55" s="163">
        <v>1</v>
      </c>
      <c r="Q55" s="163">
        <v>3</v>
      </c>
      <c r="R55" s="163"/>
      <c r="S55" s="165">
        <v>10</v>
      </c>
      <c r="T55" s="166">
        <v>1</v>
      </c>
      <c r="U55" s="167">
        <v>1</v>
      </c>
      <c r="V55" s="167">
        <v>1</v>
      </c>
      <c r="W55" s="167">
        <v>1</v>
      </c>
      <c r="X55" s="167">
        <v>4</v>
      </c>
      <c r="Y55" s="96">
        <v>40</v>
      </c>
      <c r="Z55" s="338" t="s">
        <v>139</v>
      </c>
      <c r="AA55" s="160"/>
      <c r="AB55" s="199"/>
      <c r="AC55" s="180" t="s">
        <v>181</v>
      </c>
    </row>
    <row r="56" spans="1:29" ht="27" customHeight="1">
      <c r="A56" s="52"/>
      <c r="B56" s="203" t="s">
        <v>57</v>
      </c>
      <c r="C56" s="168"/>
      <c r="D56" s="338" t="s">
        <v>139</v>
      </c>
      <c r="E56" s="193"/>
      <c r="F56" s="168"/>
      <c r="G56" s="338" t="s">
        <v>139</v>
      </c>
      <c r="H56" s="185"/>
      <c r="I56" s="183" t="s">
        <v>127</v>
      </c>
      <c r="J56" s="338" t="s">
        <v>139</v>
      </c>
      <c r="K56" s="183"/>
      <c r="L56" s="225">
        <v>1</v>
      </c>
      <c r="M56" s="163">
        <v>2</v>
      </c>
      <c r="N56" s="163">
        <v>1</v>
      </c>
      <c r="O56" s="225">
        <v>1</v>
      </c>
      <c r="P56" s="225">
        <v>2</v>
      </c>
      <c r="Q56" s="225">
        <v>1</v>
      </c>
      <c r="R56" s="226"/>
      <c r="S56" s="227">
        <v>8</v>
      </c>
      <c r="T56" s="163">
        <v>1</v>
      </c>
      <c r="U56" s="199">
        <v>1</v>
      </c>
      <c r="V56" s="199">
        <v>1</v>
      </c>
      <c r="W56" s="199">
        <v>1</v>
      </c>
      <c r="X56" s="199">
        <v>4</v>
      </c>
      <c r="Y56" s="208">
        <v>32</v>
      </c>
      <c r="Z56" s="338" t="s">
        <v>139</v>
      </c>
      <c r="AA56" s="179"/>
      <c r="AB56" s="179"/>
      <c r="AC56" s="180" t="s">
        <v>183</v>
      </c>
    </row>
    <row r="57" spans="1:29" ht="24.6" customHeight="1">
      <c r="A57" s="189" t="s">
        <v>85</v>
      </c>
      <c r="B57" s="221" t="s">
        <v>87</v>
      </c>
      <c r="C57" s="228"/>
      <c r="D57" s="168"/>
      <c r="E57" s="228"/>
      <c r="F57" s="338" t="s">
        <v>139</v>
      </c>
      <c r="G57" s="338" t="s">
        <v>139</v>
      </c>
      <c r="H57" s="228"/>
      <c r="I57" s="36" t="s">
        <v>127</v>
      </c>
      <c r="J57" s="338" t="s">
        <v>139</v>
      </c>
      <c r="K57" s="229"/>
      <c r="L57" s="230">
        <v>1</v>
      </c>
      <c r="M57" s="230">
        <v>2</v>
      </c>
      <c r="N57" s="228">
        <v>1</v>
      </c>
      <c r="O57" s="228">
        <v>1</v>
      </c>
      <c r="P57" s="230">
        <v>2</v>
      </c>
      <c r="Q57" s="203">
        <v>1</v>
      </c>
      <c r="R57" s="228">
        <v>1</v>
      </c>
      <c r="S57" s="230">
        <f t="shared" ref="S57:S61" si="0">SUM(L57:R57)</f>
        <v>9</v>
      </c>
      <c r="T57" s="228">
        <v>1</v>
      </c>
      <c r="U57" s="231">
        <v>1</v>
      </c>
      <c r="V57" s="232">
        <v>2</v>
      </c>
      <c r="W57" s="231">
        <v>1</v>
      </c>
      <c r="X57" s="232">
        <f t="shared" ref="X57:X61" si="1">SUM(T57:W57)</f>
        <v>5</v>
      </c>
      <c r="Y57" s="232">
        <f t="shared" ref="Y57:Y61" si="2">S57*X57</f>
        <v>45</v>
      </c>
      <c r="Z57" s="338" t="s">
        <v>139</v>
      </c>
      <c r="AA57" s="228"/>
      <c r="AB57" s="179"/>
      <c r="AC57" s="180" t="s">
        <v>180</v>
      </c>
    </row>
    <row r="58" spans="1:29" ht="24.6" customHeight="1">
      <c r="A58" s="233"/>
      <c r="B58" s="221" t="s">
        <v>89</v>
      </c>
      <c r="C58" s="228"/>
      <c r="D58" s="230"/>
      <c r="E58" s="228"/>
      <c r="F58" s="338" t="s">
        <v>139</v>
      </c>
      <c r="G58" s="338" t="s">
        <v>139</v>
      </c>
      <c r="H58" s="228"/>
      <c r="I58" s="36" t="s">
        <v>127</v>
      </c>
      <c r="J58" s="338" t="s">
        <v>139</v>
      </c>
      <c r="K58" s="229"/>
      <c r="L58" s="230">
        <v>1</v>
      </c>
      <c r="M58" s="230">
        <v>2</v>
      </c>
      <c r="N58" s="228">
        <v>1</v>
      </c>
      <c r="O58" s="228">
        <v>1</v>
      </c>
      <c r="P58" s="230">
        <v>2</v>
      </c>
      <c r="Q58" s="203">
        <v>1</v>
      </c>
      <c r="R58" s="228">
        <v>1</v>
      </c>
      <c r="S58" s="230">
        <f t="shared" si="0"/>
        <v>9</v>
      </c>
      <c r="T58" s="228">
        <v>1</v>
      </c>
      <c r="U58" s="231">
        <v>1</v>
      </c>
      <c r="V58" s="232">
        <v>1</v>
      </c>
      <c r="W58" s="231">
        <v>1</v>
      </c>
      <c r="X58" s="232">
        <f t="shared" si="1"/>
        <v>4</v>
      </c>
      <c r="Y58" s="232">
        <f t="shared" si="2"/>
        <v>36</v>
      </c>
      <c r="Z58" s="338" t="s">
        <v>139</v>
      </c>
      <c r="AA58" s="228"/>
      <c r="AB58" s="179"/>
      <c r="AC58" s="180" t="s">
        <v>180</v>
      </c>
    </row>
    <row r="59" spans="1:29" ht="24.6" customHeight="1">
      <c r="A59" s="234"/>
      <c r="B59" s="359" t="s">
        <v>91</v>
      </c>
      <c r="C59" s="235"/>
      <c r="D59" s="236"/>
      <c r="E59" s="235"/>
      <c r="F59" s="338" t="s">
        <v>139</v>
      </c>
      <c r="G59" s="338" t="s">
        <v>139</v>
      </c>
      <c r="H59" s="235"/>
      <c r="I59" s="72" t="s">
        <v>127</v>
      </c>
      <c r="J59" s="338" t="s">
        <v>139</v>
      </c>
      <c r="K59" s="92"/>
      <c r="L59" s="236">
        <v>1</v>
      </c>
      <c r="M59" s="236">
        <v>2</v>
      </c>
      <c r="N59" s="235">
        <v>1</v>
      </c>
      <c r="O59" s="235">
        <v>1</v>
      </c>
      <c r="P59" s="236">
        <v>2</v>
      </c>
      <c r="Q59" s="237">
        <v>1</v>
      </c>
      <c r="R59" s="235">
        <v>1</v>
      </c>
      <c r="S59" s="236">
        <f t="shared" si="0"/>
        <v>9</v>
      </c>
      <c r="T59" s="235">
        <v>1</v>
      </c>
      <c r="U59" s="180">
        <v>1</v>
      </c>
      <c r="V59" s="238">
        <v>1</v>
      </c>
      <c r="W59" s="180">
        <v>1</v>
      </c>
      <c r="X59" s="238">
        <f t="shared" si="1"/>
        <v>4</v>
      </c>
      <c r="Y59" s="238">
        <f t="shared" si="2"/>
        <v>36</v>
      </c>
      <c r="Z59" s="338" t="s">
        <v>139</v>
      </c>
      <c r="AA59" s="228"/>
      <c r="AB59" s="179"/>
      <c r="AC59" s="180" t="s">
        <v>180</v>
      </c>
    </row>
    <row r="60" spans="1:29" ht="24.6" customHeight="1">
      <c r="A60" s="234"/>
      <c r="B60" s="221" t="s">
        <v>92</v>
      </c>
      <c r="C60" s="228"/>
      <c r="D60" s="230"/>
      <c r="E60" s="228"/>
      <c r="F60" s="338" t="s">
        <v>139</v>
      </c>
      <c r="G60" s="338" t="s">
        <v>139</v>
      </c>
      <c r="H60" s="228"/>
      <c r="I60" s="36" t="s">
        <v>127</v>
      </c>
      <c r="J60" s="338" t="s">
        <v>139</v>
      </c>
      <c r="K60" s="229"/>
      <c r="L60" s="230">
        <v>1</v>
      </c>
      <c r="M60" s="230">
        <v>2</v>
      </c>
      <c r="N60" s="228">
        <v>1</v>
      </c>
      <c r="O60" s="228">
        <v>1</v>
      </c>
      <c r="P60" s="230">
        <v>2</v>
      </c>
      <c r="Q60" s="203">
        <v>1</v>
      </c>
      <c r="R60" s="228">
        <v>1</v>
      </c>
      <c r="S60" s="230">
        <f t="shared" si="0"/>
        <v>9</v>
      </c>
      <c r="T60" s="228">
        <v>1</v>
      </c>
      <c r="U60" s="231">
        <v>1</v>
      </c>
      <c r="V60" s="232">
        <v>1</v>
      </c>
      <c r="W60" s="231">
        <v>1</v>
      </c>
      <c r="X60" s="232">
        <f t="shared" si="1"/>
        <v>4</v>
      </c>
      <c r="Y60" s="232">
        <f t="shared" si="2"/>
        <v>36</v>
      </c>
      <c r="Z60" s="338" t="s">
        <v>139</v>
      </c>
      <c r="AA60" s="228"/>
      <c r="AB60" s="179"/>
      <c r="AC60" s="180" t="s">
        <v>180</v>
      </c>
    </row>
    <row r="61" spans="1:29" ht="24.6" customHeight="1">
      <c r="A61" s="233"/>
      <c r="B61" s="221" t="s">
        <v>93</v>
      </c>
      <c r="C61" s="228"/>
      <c r="D61" s="338" t="s">
        <v>139</v>
      </c>
      <c r="E61" s="228"/>
      <c r="F61" s="338" t="s">
        <v>139</v>
      </c>
      <c r="G61" s="338" t="s">
        <v>139</v>
      </c>
      <c r="H61" s="228"/>
      <c r="I61" s="36" t="s">
        <v>127</v>
      </c>
      <c r="J61" s="338" t="s">
        <v>139</v>
      </c>
      <c r="K61" s="229"/>
      <c r="L61" s="230">
        <v>1</v>
      </c>
      <c r="M61" s="230">
        <v>2</v>
      </c>
      <c r="N61" s="228">
        <v>1</v>
      </c>
      <c r="O61" s="228">
        <v>1</v>
      </c>
      <c r="P61" s="230">
        <v>2</v>
      </c>
      <c r="Q61" s="203">
        <v>1</v>
      </c>
      <c r="R61" s="228">
        <v>1</v>
      </c>
      <c r="S61" s="230">
        <f t="shared" si="0"/>
        <v>9</v>
      </c>
      <c r="T61" s="228">
        <v>1</v>
      </c>
      <c r="U61" s="231">
        <v>1</v>
      </c>
      <c r="V61" s="232">
        <v>1</v>
      </c>
      <c r="W61" s="231">
        <v>1</v>
      </c>
      <c r="X61" s="232">
        <f t="shared" si="1"/>
        <v>4</v>
      </c>
      <c r="Y61" s="232">
        <f t="shared" si="2"/>
        <v>36</v>
      </c>
      <c r="Z61" s="338" t="s">
        <v>139</v>
      </c>
      <c r="AA61" s="228"/>
      <c r="AB61" s="179"/>
      <c r="AC61" s="180" t="s">
        <v>183</v>
      </c>
    </row>
    <row r="62" spans="1:29" ht="42" customHeight="1">
      <c r="A62" s="239" t="s">
        <v>94</v>
      </c>
      <c r="B62" s="99" t="s">
        <v>97</v>
      </c>
      <c r="C62" s="240"/>
      <c r="D62" s="240"/>
      <c r="E62" s="240"/>
      <c r="F62" s="338" t="s">
        <v>139</v>
      </c>
      <c r="G62" s="338" t="s">
        <v>139</v>
      </c>
      <c r="H62" s="241"/>
      <c r="I62" s="92" t="s">
        <v>127</v>
      </c>
      <c r="J62" s="338" t="s">
        <v>139</v>
      </c>
      <c r="K62" s="242"/>
      <c r="L62" s="92">
        <v>3</v>
      </c>
      <c r="M62" s="92">
        <v>2</v>
      </c>
      <c r="N62" s="92">
        <v>1</v>
      </c>
      <c r="O62" s="92">
        <v>2</v>
      </c>
      <c r="P62" s="92">
        <v>3</v>
      </c>
      <c r="Q62" s="92">
        <v>1</v>
      </c>
      <c r="R62" s="92">
        <v>1</v>
      </c>
      <c r="S62" s="105">
        <v>13</v>
      </c>
      <c r="T62" s="243">
        <v>1</v>
      </c>
      <c r="U62" s="244">
        <v>2</v>
      </c>
      <c r="V62" s="244">
        <v>1</v>
      </c>
      <c r="W62" s="244">
        <v>1</v>
      </c>
      <c r="X62" s="244">
        <v>8</v>
      </c>
      <c r="Y62" s="245">
        <f>S62*X62</f>
        <v>104</v>
      </c>
      <c r="Z62" s="90"/>
      <c r="AA62" s="90"/>
      <c r="AB62" s="338" t="s">
        <v>139</v>
      </c>
      <c r="AC62" s="169" t="s">
        <v>189</v>
      </c>
    </row>
    <row r="63" spans="1:29" ht="61.15" customHeight="1">
      <c r="A63" s="246"/>
      <c r="B63" s="99" t="s">
        <v>99</v>
      </c>
      <c r="C63" s="247"/>
      <c r="D63" s="241"/>
      <c r="E63" s="247"/>
      <c r="F63" s="338" t="s">
        <v>139</v>
      </c>
      <c r="G63" s="338" t="s">
        <v>139</v>
      </c>
      <c r="H63" s="241"/>
      <c r="I63" s="92" t="s">
        <v>127</v>
      </c>
      <c r="J63" s="338" t="s">
        <v>139</v>
      </c>
      <c r="K63" s="92"/>
      <c r="L63" s="105">
        <v>3</v>
      </c>
      <c r="M63" s="92">
        <v>2</v>
      </c>
      <c r="N63" s="92">
        <v>1</v>
      </c>
      <c r="O63" s="92">
        <v>2</v>
      </c>
      <c r="P63" s="92">
        <v>3</v>
      </c>
      <c r="Q63" s="92">
        <v>1</v>
      </c>
      <c r="R63" s="92">
        <v>1</v>
      </c>
      <c r="S63" s="105">
        <v>13</v>
      </c>
      <c r="T63" s="243">
        <v>1</v>
      </c>
      <c r="U63" s="244">
        <v>2</v>
      </c>
      <c r="V63" s="244">
        <v>1</v>
      </c>
      <c r="W63" s="244">
        <v>1</v>
      </c>
      <c r="X63" s="244">
        <v>8</v>
      </c>
      <c r="Y63" s="245">
        <f>S63*X63</f>
        <v>104</v>
      </c>
      <c r="Z63" s="90"/>
      <c r="AA63" s="90"/>
      <c r="AB63" s="338" t="s">
        <v>139</v>
      </c>
      <c r="AC63" s="169" t="s">
        <v>190</v>
      </c>
    </row>
    <row r="64" spans="1:29">
      <c r="A64" s="145" t="s">
        <v>191</v>
      </c>
    </row>
    <row r="65" spans="1:29">
      <c r="A65" s="248" t="s">
        <v>151</v>
      </c>
      <c r="B65" s="409" t="s">
        <v>192</v>
      </c>
      <c r="C65" s="410"/>
      <c r="D65" s="410"/>
      <c r="E65" s="410"/>
      <c r="F65" s="410"/>
      <c r="G65" s="410"/>
      <c r="H65" s="410"/>
      <c r="I65" s="410"/>
      <c r="J65" s="411"/>
      <c r="K65" s="151" t="s">
        <v>153</v>
      </c>
      <c r="L65" s="249"/>
      <c r="M65" s="250"/>
      <c r="N65" s="152"/>
      <c r="O65" s="152"/>
      <c r="P65" s="152"/>
      <c r="Q65" s="152"/>
      <c r="R65" s="152"/>
      <c r="S65" s="153"/>
      <c r="T65" s="146"/>
      <c r="U65" s="251"/>
      <c r="V65" s="251"/>
      <c r="W65" s="251"/>
      <c r="X65" s="251"/>
      <c r="Y65" s="251"/>
      <c r="AA65" s="251"/>
      <c r="AB65" s="251"/>
      <c r="AC65" s="251"/>
    </row>
    <row r="66" spans="1:29" ht="37.5" customHeight="1">
      <c r="A66" s="252" t="s">
        <v>154</v>
      </c>
      <c r="B66" s="253" t="s">
        <v>193</v>
      </c>
      <c r="C66" s="254"/>
      <c r="D66" s="254"/>
      <c r="E66" s="255" t="s">
        <v>194</v>
      </c>
      <c r="F66" s="254"/>
      <c r="G66" s="256"/>
      <c r="H66" s="254"/>
      <c r="I66" s="257"/>
      <c r="J66" s="258"/>
      <c r="K66" s="259" t="s">
        <v>157</v>
      </c>
      <c r="L66" s="260"/>
      <c r="M66" s="261"/>
      <c r="N66" s="260"/>
      <c r="O66" s="262"/>
      <c r="P66" s="262"/>
      <c r="Q66" s="262"/>
      <c r="R66" s="262"/>
      <c r="S66" s="263"/>
      <c r="T66" s="414" t="s">
        <v>101</v>
      </c>
      <c r="U66" s="415"/>
      <c r="V66" s="415"/>
      <c r="W66" s="415"/>
      <c r="X66" s="415"/>
      <c r="Y66" s="415"/>
      <c r="Z66" s="415"/>
      <c r="AA66" s="251"/>
      <c r="AB66" s="264"/>
      <c r="AC66" s="265" t="s">
        <v>105</v>
      </c>
    </row>
    <row r="67" spans="1:29" ht="48.75" customHeight="1">
      <c r="A67" s="266" t="s">
        <v>158</v>
      </c>
      <c r="B67" s="259" t="s">
        <v>195</v>
      </c>
      <c r="C67" s="262"/>
      <c r="D67" s="262"/>
      <c r="E67" s="262" t="s">
        <v>196</v>
      </c>
      <c r="F67" s="262"/>
      <c r="G67" s="260"/>
      <c r="H67" s="262"/>
      <c r="I67" s="261"/>
      <c r="J67" s="267"/>
      <c r="K67" s="259" t="s">
        <v>161</v>
      </c>
      <c r="L67" s="260"/>
      <c r="M67" s="261"/>
      <c r="N67" s="260"/>
      <c r="O67" s="262"/>
      <c r="P67" s="262"/>
      <c r="Q67" s="262"/>
      <c r="R67" s="262"/>
      <c r="S67" s="263"/>
      <c r="T67" s="264" t="s">
        <v>162</v>
      </c>
      <c r="U67" s="264"/>
      <c r="V67" s="264"/>
      <c r="W67" s="264"/>
      <c r="X67" s="264"/>
      <c r="Y67" s="264"/>
      <c r="Z67" s="264"/>
      <c r="AA67" s="264"/>
      <c r="AB67" s="264"/>
      <c r="AC67" s="265" t="s">
        <v>105</v>
      </c>
    </row>
    <row r="68" spans="1:29" ht="45.75" customHeight="1">
      <c r="A68" s="268"/>
      <c r="B68" s="269" t="s">
        <v>197</v>
      </c>
      <c r="C68" s="270"/>
      <c r="D68" s="250" t="s">
        <v>164</v>
      </c>
      <c r="E68" s="270"/>
      <c r="F68" s="270"/>
      <c r="G68" s="270"/>
      <c r="H68" s="270"/>
      <c r="I68" s="250"/>
      <c r="J68" s="271"/>
      <c r="K68" s="272" t="s">
        <v>165</v>
      </c>
      <c r="L68" s="273"/>
      <c r="M68" s="274"/>
      <c r="N68" s="273"/>
      <c r="O68" s="275"/>
      <c r="P68" s="275"/>
      <c r="Q68" s="275"/>
      <c r="R68" s="275"/>
      <c r="S68" s="276"/>
      <c r="T68" s="264" t="s">
        <v>103</v>
      </c>
      <c r="U68" s="264"/>
      <c r="V68" s="264"/>
      <c r="W68" s="264"/>
      <c r="X68" s="264"/>
      <c r="Y68" s="251"/>
      <c r="Z68" s="251"/>
      <c r="AA68" s="251"/>
      <c r="AB68" s="264"/>
      <c r="AC68" s="265" t="s">
        <v>105</v>
      </c>
    </row>
    <row r="69" spans="1:29">
      <c r="R69" s="146"/>
    </row>
    <row r="70" spans="1:29">
      <c r="A70" s="397"/>
      <c r="B70" s="397"/>
      <c r="C70" s="397"/>
      <c r="D70" s="397"/>
      <c r="E70" s="397"/>
      <c r="F70" s="397"/>
      <c r="G70" s="397"/>
      <c r="H70" s="397"/>
      <c r="I70" s="397"/>
      <c r="J70" s="397"/>
      <c r="K70" s="397"/>
      <c r="L70" s="397"/>
      <c r="M70" s="397"/>
      <c r="N70" s="397"/>
      <c r="O70" s="397"/>
      <c r="P70" s="397"/>
      <c r="Q70" s="397"/>
      <c r="R70" s="397"/>
      <c r="S70" s="397"/>
      <c r="T70" s="397"/>
    </row>
    <row r="72" spans="1:29">
      <c r="B72" s="329"/>
    </row>
    <row r="73" spans="1:29">
      <c r="B73" s="329"/>
    </row>
    <row r="74" spans="1:29">
      <c r="B74" s="329"/>
    </row>
    <row r="75" spans="1:29">
      <c r="B75" s="329"/>
    </row>
    <row r="76" spans="1:29">
      <c r="B76" s="329"/>
    </row>
    <row r="96" spans="3:3">
      <c r="C96" s="277"/>
    </row>
  </sheetData>
  <mergeCells count="20">
    <mergeCell ref="B65:J65"/>
    <mergeCell ref="A70:T70"/>
    <mergeCell ref="S7:S8"/>
    <mergeCell ref="T7:W7"/>
    <mergeCell ref="X7:X8"/>
    <mergeCell ref="T66:Z66"/>
    <mergeCell ref="Y7:Y8"/>
    <mergeCell ref="AC7:AC8"/>
    <mergeCell ref="AD10:AD11"/>
    <mergeCell ref="A2:AC2"/>
    <mergeCell ref="A6:AC6"/>
    <mergeCell ref="A7:A8"/>
    <mergeCell ref="B7:B8"/>
    <mergeCell ref="C7:F7"/>
    <mergeCell ref="G7:G8"/>
    <mergeCell ref="H7:H8"/>
    <mergeCell ref="I7:I8"/>
    <mergeCell ref="J7:K7"/>
    <mergeCell ref="L7:R7"/>
    <mergeCell ref="A5:AC5"/>
  </mergeCells>
  <phoneticPr fontId="33" type="noConversion"/>
  <pageMargins left="0.55118110236220474" right="0.15748031496062992" top="0.43307086614173229" bottom="0.35433070866141736" header="0.31496062992125984" footer="0.31496062992125984"/>
  <pageSetup scale="67" fitToHeight="0" orientation="landscape" r:id="rId1"/>
  <colBreaks count="1" manualBreakCount="1">
    <brk id="29" min="1" max="29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92"/>
  <sheetViews>
    <sheetView zoomScaleNormal="100" zoomScaleSheetLayoutView="66" workbookViewId="0">
      <selection activeCell="A2" sqref="A2:H2"/>
    </sheetView>
  </sheetViews>
  <sheetFormatPr defaultColWidth="9.140625" defaultRowHeight="20.25"/>
  <cols>
    <col min="1" max="1" width="7" style="42" customWidth="1"/>
    <col min="2" max="2" width="30.140625" style="42" customWidth="1"/>
    <col min="3" max="3" width="19.5703125" style="42" customWidth="1"/>
    <col min="4" max="4" width="10.28515625" style="42" customWidth="1"/>
    <col min="5" max="5" width="21" style="2" customWidth="1"/>
    <col min="6" max="6" width="8.42578125" style="2" customWidth="1"/>
    <col min="7" max="7" width="14.7109375" style="2" customWidth="1"/>
    <col min="8" max="8" width="28.85546875" style="2" customWidth="1"/>
    <col min="9" max="16384" width="9.140625" style="2"/>
  </cols>
  <sheetData>
    <row r="1" spans="1:8">
      <c r="A1" s="2"/>
      <c r="B1" s="2"/>
      <c r="C1" s="2"/>
      <c r="D1" s="2"/>
      <c r="H1" s="4" t="s">
        <v>198</v>
      </c>
    </row>
    <row r="2" spans="1:8">
      <c r="A2" s="416" t="s">
        <v>199</v>
      </c>
      <c r="B2" s="416"/>
      <c r="C2" s="416"/>
      <c r="D2" s="416"/>
      <c r="E2" s="416"/>
      <c r="F2" s="416"/>
      <c r="G2" s="416"/>
      <c r="H2" s="416"/>
    </row>
    <row r="3" spans="1:8">
      <c r="A3" s="416" t="s">
        <v>2</v>
      </c>
      <c r="B3" s="416"/>
      <c r="C3" s="416"/>
      <c r="D3" s="416"/>
      <c r="E3" s="416"/>
      <c r="F3" s="416"/>
      <c r="G3" s="416"/>
      <c r="H3" s="416"/>
    </row>
    <row r="4" spans="1:8" s="7" customFormat="1" ht="23.25" customHeight="1">
      <c r="A4" s="5" t="s">
        <v>200</v>
      </c>
      <c r="B4" s="5" t="s">
        <v>201</v>
      </c>
      <c r="C4" s="5" t="s">
        <v>202</v>
      </c>
      <c r="D4" s="5" t="s">
        <v>203</v>
      </c>
      <c r="E4" s="5" t="s">
        <v>204</v>
      </c>
      <c r="F4" s="5" t="s">
        <v>205</v>
      </c>
      <c r="G4" s="5" t="s">
        <v>120</v>
      </c>
      <c r="H4" s="6" t="s">
        <v>206</v>
      </c>
    </row>
    <row r="5" spans="1:8" s="13" customFormat="1" ht="47.45" customHeight="1">
      <c r="A5" s="308">
        <v>1</v>
      </c>
      <c r="B5" s="363" t="s">
        <v>207</v>
      </c>
      <c r="C5" s="363" t="s">
        <v>208</v>
      </c>
      <c r="D5" s="363" t="s">
        <v>209</v>
      </c>
      <c r="E5" s="364" t="s">
        <v>7</v>
      </c>
      <c r="F5" s="365">
        <v>36</v>
      </c>
      <c r="G5" s="11" t="s">
        <v>136</v>
      </c>
      <c r="H5" s="12" t="s">
        <v>140</v>
      </c>
    </row>
    <row r="6" spans="1:8" s="361" customFormat="1" ht="47.45" customHeight="1">
      <c r="A6" s="308">
        <v>2</v>
      </c>
      <c r="B6" s="363" t="s">
        <v>207</v>
      </c>
      <c r="C6" s="363" t="s">
        <v>208</v>
      </c>
      <c r="D6" s="366" t="s">
        <v>209</v>
      </c>
      <c r="E6" s="364" t="s">
        <v>9</v>
      </c>
      <c r="F6" s="365">
        <v>49</v>
      </c>
      <c r="G6" s="360" t="s">
        <v>137</v>
      </c>
      <c r="H6" s="12" t="s">
        <v>141</v>
      </c>
    </row>
    <row r="7" spans="1:8" s="361" customFormat="1" ht="47.45" customHeight="1">
      <c r="A7" s="308">
        <v>3</v>
      </c>
      <c r="B7" s="363" t="s">
        <v>207</v>
      </c>
      <c r="C7" s="363" t="s">
        <v>208</v>
      </c>
      <c r="D7" s="366" t="s">
        <v>209</v>
      </c>
      <c r="E7" s="367" t="s">
        <v>11</v>
      </c>
      <c r="F7" s="365">
        <v>42</v>
      </c>
      <c r="G7" s="360" t="s">
        <v>137</v>
      </c>
      <c r="H7" s="12" t="s">
        <v>142</v>
      </c>
    </row>
    <row r="8" spans="1:8" s="361" customFormat="1">
      <c r="A8" s="308">
        <v>4</v>
      </c>
      <c r="B8" s="362" t="s">
        <v>16</v>
      </c>
      <c r="C8" s="363" t="s">
        <v>208</v>
      </c>
      <c r="D8" s="362" t="s">
        <v>209</v>
      </c>
      <c r="E8" s="364" t="s">
        <v>7</v>
      </c>
      <c r="F8" s="365">
        <v>36</v>
      </c>
      <c r="G8" s="360" t="s">
        <v>136</v>
      </c>
      <c r="H8" s="12" t="s">
        <v>141</v>
      </c>
    </row>
    <row r="9" spans="1:8" s="361" customFormat="1">
      <c r="A9" s="308">
        <v>5</v>
      </c>
      <c r="B9" s="362" t="s">
        <v>16</v>
      </c>
      <c r="C9" s="363" t="s">
        <v>208</v>
      </c>
      <c r="D9" s="363" t="s">
        <v>209</v>
      </c>
      <c r="E9" s="367" t="s">
        <v>11</v>
      </c>
      <c r="F9" s="365">
        <v>42</v>
      </c>
      <c r="G9" s="360" t="s">
        <v>137</v>
      </c>
      <c r="H9" s="12" t="s">
        <v>142</v>
      </c>
    </row>
    <row r="10" spans="1:8" s="361" customFormat="1">
      <c r="A10" s="308">
        <v>6</v>
      </c>
      <c r="B10" s="362" t="s">
        <v>20</v>
      </c>
      <c r="C10" s="363" t="s">
        <v>208</v>
      </c>
      <c r="D10" s="366" t="s">
        <v>209</v>
      </c>
      <c r="E10" s="367" t="s">
        <v>7</v>
      </c>
      <c r="F10" s="365">
        <v>36</v>
      </c>
      <c r="G10" s="360" t="s">
        <v>136</v>
      </c>
      <c r="H10" s="12" t="s">
        <v>141</v>
      </c>
    </row>
    <row r="11" spans="1:8" s="361" customFormat="1">
      <c r="A11" s="308">
        <v>7</v>
      </c>
      <c r="B11" s="362" t="s">
        <v>20</v>
      </c>
      <c r="C11" s="363" t="s">
        <v>208</v>
      </c>
      <c r="D11" s="363" t="s">
        <v>209</v>
      </c>
      <c r="E11" s="367" t="s">
        <v>22</v>
      </c>
      <c r="F11" s="365">
        <v>48</v>
      </c>
      <c r="G11" s="360" t="s">
        <v>137</v>
      </c>
      <c r="H11" s="12" t="s">
        <v>141</v>
      </c>
    </row>
    <row r="12" spans="1:8" s="361" customFormat="1">
      <c r="A12" s="308">
        <v>8</v>
      </c>
      <c r="B12" s="366" t="s">
        <v>24</v>
      </c>
      <c r="C12" s="363" t="s">
        <v>208</v>
      </c>
      <c r="D12" s="366" t="s">
        <v>209</v>
      </c>
      <c r="E12" s="367" t="s">
        <v>7</v>
      </c>
      <c r="F12" s="365">
        <v>36</v>
      </c>
      <c r="G12" s="360" t="s">
        <v>136</v>
      </c>
      <c r="H12" s="12" t="s">
        <v>141</v>
      </c>
    </row>
    <row r="13" spans="1:8" s="361" customFormat="1">
      <c r="A13" s="308">
        <v>9</v>
      </c>
      <c r="B13" s="366" t="s">
        <v>24</v>
      </c>
      <c r="C13" s="363" t="s">
        <v>208</v>
      </c>
      <c r="D13" s="366" t="s">
        <v>209</v>
      </c>
      <c r="E13" s="364" t="s">
        <v>22</v>
      </c>
      <c r="F13" s="365">
        <v>48</v>
      </c>
      <c r="G13" s="360" t="s">
        <v>137</v>
      </c>
      <c r="H13" s="12" t="s">
        <v>141</v>
      </c>
    </row>
    <row r="14" spans="1:8" s="361" customFormat="1">
      <c r="A14" s="308">
        <v>10</v>
      </c>
      <c r="B14" s="366" t="s">
        <v>24</v>
      </c>
      <c r="C14" s="363" t="s">
        <v>208</v>
      </c>
      <c r="D14" s="362" t="s">
        <v>209</v>
      </c>
      <c r="E14" s="364" t="s">
        <v>26</v>
      </c>
      <c r="F14" s="365">
        <v>56</v>
      </c>
      <c r="G14" s="360" t="s">
        <v>137</v>
      </c>
      <c r="H14" s="12" t="s">
        <v>144</v>
      </c>
    </row>
    <row r="15" spans="1:8" s="361" customFormat="1">
      <c r="A15" s="308">
        <v>11</v>
      </c>
      <c r="B15" s="366" t="s">
        <v>24</v>
      </c>
      <c r="C15" s="363" t="s">
        <v>208</v>
      </c>
      <c r="D15" s="363" t="s">
        <v>209</v>
      </c>
      <c r="E15" s="364" t="s">
        <v>11</v>
      </c>
      <c r="F15" s="365">
        <v>42</v>
      </c>
      <c r="G15" s="360" t="s">
        <v>137</v>
      </c>
      <c r="H15" s="12" t="s">
        <v>142</v>
      </c>
    </row>
    <row r="16" spans="1:8" s="361" customFormat="1">
      <c r="A16" s="308">
        <v>12</v>
      </c>
      <c r="B16" s="366" t="s">
        <v>30</v>
      </c>
      <c r="C16" s="366" t="s">
        <v>210</v>
      </c>
      <c r="D16" s="366" t="s">
        <v>209</v>
      </c>
      <c r="E16" s="367" t="s">
        <v>7</v>
      </c>
      <c r="F16" s="365">
        <v>36</v>
      </c>
      <c r="G16" s="360" t="s">
        <v>136</v>
      </c>
      <c r="H16" s="12" t="s">
        <v>141</v>
      </c>
    </row>
    <row r="17" spans="1:8" s="361" customFormat="1">
      <c r="A17" s="308">
        <v>13</v>
      </c>
      <c r="B17" s="366" t="s">
        <v>30</v>
      </c>
      <c r="C17" s="366" t="s">
        <v>210</v>
      </c>
      <c r="D17" s="366" t="s">
        <v>209</v>
      </c>
      <c r="E17" s="364" t="s">
        <v>22</v>
      </c>
      <c r="F17" s="365">
        <v>48</v>
      </c>
      <c r="G17" s="360" t="s">
        <v>137</v>
      </c>
      <c r="H17" s="12" t="s">
        <v>141</v>
      </c>
    </row>
    <row r="18" spans="1:8" s="361" customFormat="1">
      <c r="A18" s="308">
        <v>14</v>
      </c>
      <c r="B18" s="366" t="s">
        <v>30</v>
      </c>
      <c r="C18" s="366" t="s">
        <v>210</v>
      </c>
      <c r="D18" s="362" t="s">
        <v>209</v>
      </c>
      <c r="E18" s="364" t="s">
        <v>26</v>
      </c>
      <c r="F18" s="365">
        <v>49</v>
      </c>
      <c r="G18" s="360" t="s">
        <v>137</v>
      </c>
      <c r="H18" s="12" t="s">
        <v>144</v>
      </c>
    </row>
    <row r="19" spans="1:8" s="361" customFormat="1">
      <c r="A19" s="308">
        <v>15</v>
      </c>
      <c r="B19" s="366" t="s">
        <v>30</v>
      </c>
      <c r="C19" s="366" t="s">
        <v>210</v>
      </c>
      <c r="D19" s="363" t="s">
        <v>209</v>
      </c>
      <c r="E19" s="364" t="s">
        <v>11</v>
      </c>
      <c r="F19" s="365">
        <v>42</v>
      </c>
      <c r="G19" s="360" t="s">
        <v>137</v>
      </c>
      <c r="H19" s="12" t="s">
        <v>142</v>
      </c>
    </row>
    <row r="20" spans="1:8" s="361" customFormat="1">
      <c r="A20" s="308">
        <v>16</v>
      </c>
      <c r="B20" s="362" t="s">
        <v>31</v>
      </c>
      <c r="C20" s="363" t="s">
        <v>208</v>
      </c>
      <c r="D20" s="366" t="s">
        <v>209</v>
      </c>
      <c r="E20" s="364" t="s">
        <v>7</v>
      </c>
      <c r="F20" s="365">
        <v>36</v>
      </c>
      <c r="G20" s="360" t="s">
        <v>136</v>
      </c>
      <c r="H20" s="12" t="s">
        <v>141</v>
      </c>
    </row>
    <row r="21" spans="1:8" s="361" customFormat="1">
      <c r="A21" s="308">
        <v>17</v>
      </c>
      <c r="B21" s="362" t="s">
        <v>32</v>
      </c>
      <c r="C21" s="363" t="s">
        <v>208</v>
      </c>
      <c r="D21" s="363" t="s">
        <v>209</v>
      </c>
      <c r="E21" s="364" t="s">
        <v>33</v>
      </c>
      <c r="F21" s="365">
        <v>30</v>
      </c>
      <c r="G21" s="360" t="s">
        <v>136</v>
      </c>
      <c r="H21" s="12" t="s">
        <v>141</v>
      </c>
    </row>
    <row r="22" spans="1:8" s="361" customFormat="1">
      <c r="A22" s="308">
        <v>18</v>
      </c>
      <c r="B22" s="362" t="s">
        <v>36</v>
      </c>
      <c r="C22" s="366" t="s">
        <v>210</v>
      </c>
      <c r="D22" s="366" t="s">
        <v>209</v>
      </c>
      <c r="E22" s="364" t="s">
        <v>37</v>
      </c>
      <c r="F22" s="365">
        <v>48</v>
      </c>
      <c r="G22" s="360" t="s">
        <v>137</v>
      </c>
      <c r="H22" s="12" t="s">
        <v>146</v>
      </c>
    </row>
    <row r="23" spans="1:8" s="361" customFormat="1" ht="81">
      <c r="A23" s="308">
        <v>19</v>
      </c>
      <c r="B23" s="362" t="s">
        <v>36</v>
      </c>
      <c r="C23" s="366" t="s">
        <v>210</v>
      </c>
      <c r="D23" s="366" t="s">
        <v>209</v>
      </c>
      <c r="E23" s="368" t="s">
        <v>211</v>
      </c>
      <c r="F23" s="365">
        <v>49</v>
      </c>
      <c r="G23" s="360" t="s">
        <v>137</v>
      </c>
      <c r="H23" s="12" t="s">
        <v>141</v>
      </c>
    </row>
    <row r="24" spans="1:8" s="361" customFormat="1" ht="101.25">
      <c r="A24" s="308">
        <v>20</v>
      </c>
      <c r="B24" s="362" t="s">
        <v>36</v>
      </c>
      <c r="C24" s="366" t="s">
        <v>210</v>
      </c>
      <c r="D24" s="362" t="s">
        <v>209</v>
      </c>
      <c r="E24" s="369" t="s">
        <v>41</v>
      </c>
      <c r="F24" s="365">
        <v>49</v>
      </c>
      <c r="G24" s="360" t="s">
        <v>137</v>
      </c>
      <c r="H24" s="12" t="s">
        <v>141</v>
      </c>
    </row>
    <row r="25" spans="1:8" s="361" customFormat="1">
      <c r="A25" s="308">
        <v>21</v>
      </c>
      <c r="B25" s="362" t="s">
        <v>36</v>
      </c>
      <c r="C25" s="366" t="s">
        <v>210</v>
      </c>
      <c r="D25" s="72" t="s">
        <v>209</v>
      </c>
      <c r="E25" s="364" t="s">
        <v>11</v>
      </c>
      <c r="F25" s="365">
        <v>42</v>
      </c>
      <c r="G25" s="360" t="s">
        <v>137</v>
      </c>
      <c r="H25" s="12" t="s">
        <v>142</v>
      </c>
    </row>
    <row r="26" spans="1:8" s="361" customFormat="1">
      <c r="A26" s="308">
        <v>22</v>
      </c>
      <c r="B26" s="362" t="s">
        <v>45</v>
      </c>
      <c r="C26" s="362" t="s">
        <v>208</v>
      </c>
      <c r="D26" s="362" t="s">
        <v>209</v>
      </c>
      <c r="E26" s="80" t="s">
        <v>46</v>
      </c>
      <c r="F26" s="365">
        <v>56</v>
      </c>
      <c r="G26" s="360" t="s">
        <v>137</v>
      </c>
      <c r="H26" s="12" t="s">
        <v>144</v>
      </c>
    </row>
    <row r="27" spans="1:8" s="361" customFormat="1">
      <c r="A27" s="308">
        <v>23</v>
      </c>
      <c r="B27" s="362" t="s">
        <v>45</v>
      </c>
      <c r="C27" s="72" t="s">
        <v>210</v>
      </c>
      <c r="D27" s="72" t="s">
        <v>209</v>
      </c>
      <c r="E27" s="364" t="s">
        <v>11</v>
      </c>
      <c r="F27" s="365">
        <v>42</v>
      </c>
      <c r="G27" s="360" t="s">
        <v>137</v>
      </c>
      <c r="H27" s="12" t="s">
        <v>142</v>
      </c>
    </row>
    <row r="28" spans="1:8" s="361" customFormat="1" ht="60.75">
      <c r="A28" s="308">
        <v>24</v>
      </c>
      <c r="B28" s="363" t="s">
        <v>52</v>
      </c>
      <c r="C28" s="363" t="s">
        <v>208</v>
      </c>
      <c r="D28" s="362" t="s">
        <v>212</v>
      </c>
      <c r="E28" s="369" t="s">
        <v>213</v>
      </c>
      <c r="F28" s="365">
        <v>30</v>
      </c>
      <c r="G28" s="360" t="s">
        <v>136</v>
      </c>
      <c r="H28" s="30" t="s">
        <v>214</v>
      </c>
    </row>
    <row r="29" spans="1:8" s="361" customFormat="1" ht="40.5">
      <c r="A29" s="308">
        <v>25</v>
      </c>
      <c r="B29" s="363" t="s">
        <v>52</v>
      </c>
      <c r="C29" s="363" t="s">
        <v>208</v>
      </c>
      <c r="D29" s="362" t="s">
        <v>209</v>
      </c>
      <c r="E29" s="364" t="s">
        <v>37</v>
      </c>
      <c r="F29" s="365">
        <v>30</v>
      </c>
      <c r="G29" s="360" t="s">
        <v>136</v>
      </c>
      <c r="H29" s="12" t="s">
        <v>146</v>
      </c>
    </row>
    <row r="30" spans="1:8" s="361" customFormat="1" ht="40.5">
      <c r="A30" s="308">
        <v>26</v>
      </c>
      <c r="B30" s="363" t="s">
        <v>52</v>
      </c>
      <c r="C30" s="363" t="s">
        <v>208</v>
      </c>
      <c r="D30" s="363" t="s">
        <v>209</v>
      </c>
      <c r="E30" s="367" t="s">
        <v>11</v>
      </c>
      <c r="F30" s="365">
        <v>30</v>
      </c>
      <c r="G30" s="360" t="s">
        <v>136</v>
      </c>
      <c r="H30" s="12" t="s">
        <v>142</v>
      </c>
    </row>
    <row r="31" spans="1:8" s="361" customFormat="1" ht="40.5">
      <c r="A31" s="308">
        <v>27</v>
      </c>
      <c r="B31" s="363" t="s">
        <v>52</v>
      </c>
      <c r="C31" s="363" t="s">
        <v>208</v>
      </c>
      <c r="D31" s="366" t="s">
        <v>209</v>
      </c>
      <c r="E31" s="364" t="s">
        <v>60</v>
      </c>
      <c r="F31" s="365">
        <v>49</v>
      </c>
      <c r="G31" s="360" t="s">
        <v>137</v>
      </c>
      <c r="H31" s="12" t="s">
        <v>141</v>
      </c>
    </row>
    <row r="32" spans="1:8" s="361" customFormat="1" ht="40.5">
      <c r="A32" s="308">
        <v>28</v>
      </c>
      <c r="B32" s="363" t="s">
        <v>52</v>
      </c>
      <c r="C32" s="72" t="s">
        <v>208</v>
      </c>
      <c r="D32" s="366" t="s">
        <v>209</v>
      </c>
      <c r="E32" s="364" t="s">
        <v>58</v>
      </c>
      <c r="F32" s="365">
        <v>42</v>
      </c>
      <c r="G32" s="360" t="s">
        <v>137</v>
      </c>
      <c r="H32" s="12" t="s">
        <v>141</v>
      </c>
    </row>
    <row r="33" spans="1:8" s="361" customFormat="1">
      <c r="A33" s="308">
        <v>29</v>
      </c>
      <c r="B33" s="362" t="s">
        <v>61</v>
      </c>
      <c r="C33" s="366" t="s">
        <v>210</v>
      </c>
      <c r="D33" s="362" t="s">
        <v>209</v>
      </c>
      <c r="E33" s="364" t="s">
        <v>37</v>
      </c>
      <c r="F33" s="365">
        <v>48</v>
      </c>
      <c r="G33" s="360" t="s">
        <v>137</v>
      </c>
      <c r="H33" s="12" t="s">
        <v>146</v>
      </c>
    </row>
    <row r="34" spans="1:8" s="361" customFormat="1">
      <c r="A34" s="308">
        <v>30</v>
      </c>
      <c r="B34" s="362" t="s">
        <v>61</v>
      </c>
      <c r="C34" s="366" t="s">
        <v>210</v>
      </c>
      <c r="D34" s="363" t="s">
        <v>209</v>
      </c>
      <c r="E34" s="364" t="s">
        <v>62</v>
      </c>
      <c r="F34" s="365">
        <v>49</v>
      </c>
      <c r="G34" s="360" t="s">
        <v>137</v>
      </c>
      <c r="H34" s="12" t="s">
        <v>141</v>
      </c>
    </row>
    <row r="35" spans="1:8" s="361" customFormat="1" ht="101.25">
      <c r="A35" s="308">
        <v>31</v>
      </c>
      <c r="B35" s="362" t="s">
        <v>61</v>
      </c>
      <c r="C35" s="366" t="s">
        <v>210</v>
      </c>
      <c r="D35" s="366" t="s">
        <v>209</v>
      </c>
      <c r="E35" s="369" t="s">
        <v>63</v>
      </c>
      <c r="F35" s="365">
        <v>49</v>
      </c>
      <c r="G35" s="360" t="s">
        <v>137</v>
      </c>
      <c r="H35" s="12" t="s">
        <v>141</v>
      </c>
    </row>
    <row r="36" spans="1:8" s="361" customFormat="1">
      <c r="A36" s="308">
        <v>32</v>
      </c>
      <c r="B36" s="362" t="s">
        <v>66</v>
      </c>
      <c r="C36" s="362" t="s">
        <v>208</v>
      </c>
      <c r="D36" s="366" t="s">
        <v>209</v>
      </c>
      <c r="E36" s="364" t="s">
        <v>67</v>
      </c>
      <c r="F36" s="365">
        <v>42</v>
      </c>
      <c r="G36" s="360" t="s">
        <v>137</v>
      </c>
      <c r="H36" s="12" t="s">
        <v>142</v>
      </c>
    </row>
    <row r="37" spans="1:8" s="361" customFormat="1" ht="60.75">
      <c r="A37" s="308">
        <v>33</v>
      </c>
      <c r="B37" s="363" t="s">
        <v>71</v>
      </c>
      <c r="C37" s="362" t="s">
        <v>210</v>
      </c>
      <c r="D37" s="362" t="s">
        <v>209</v>
      </c>
      <c r="E37" s="370" t="s">
        <v>37</v>
      </c>
      <c r="F37" s="365">
        <v>48</v>
      </c>
      <c r="G37" s="360" t="s">
        <v>137</v>
      </c>
      <c r="H37" s="12" t="s">
        <v>146</v>
      </c>
    </row>
    <row r="38" spans="1:8" s="361" customFormat="1" ht="60.75">
      <c r="A38" s="308">
        <v>34</v>
      </c>
      <c r="B38" s="363" t="s">
        <v>71</v>
      </c>
      <c r="C38" s="362" t="s">
        <v>210</v>
      </c>
      <c r="D38" s="363" t="s">
        <v>209</v>
      </c>
      <c r="E38" s="370" t="s">
        <v>60</v>
      </c>
      <c r="F38" s="365">
        <v>49</v>
      </c>
      <c r="G38" s="360" t="s">
        <v>137</v>
      </c>
      <c r="H38" s="12" t="s">
        <v>141</v>
      </c>
    </row>
    <row r="39" spans="1:8" s="361" customFormat="1" ht="60.75">
      <c r="A39" s="308">
        <v>35</v>
      </c>
      <c r="B39" s="363" t="s">
        <v>71</v>
      </c>
      <c r="C39" s="366" t="s">
        <v>208</v>
      </c>
      <c r="D39" s="366" t="s">
        <v>209</v>
      </c>
      <c r="E39" s="370" t="s">
        <v>11</v>
      </c>
      <c r="F39" s="365">
        <v>30</v>
      </c>
      <c r="G39" s="360" t="s">
        <v>136</v>
      </c>
      <c r="H39" s="12" t="s">
        <v>142</v>
      </c>
    </row>
    <row r="40" spans="1:8" s="361" customFormat="1" ht="60.75">
      <c r="A40" s="308">
        <v>36</v>
      </c>
      <c r="B40" s="363" t="s">
        <v>74</v>
      </c>
      <c r="C40" s="362" t="s">
        <v>210</v>
      </c>
      <c r="D40" s="366" t="s">
        <v>209</v>
      </c>
      <c r="E40" s="370" t="s">
        <v>37</v>
      </c>
      <c r="F40" s="365">
        <v>48</v>
      </c>
      <c r="G40" s="360" t="s">
        <v>137</v>
      </c>
      <c r="H40" s="12" t="s">
        <v>146</v>
      </c>
    </row>
    <row r="41" spans="1:8" s="361" customFormat="1" ht="60.75">
      <c r="A41" s="308">
        <v>37</v>
      </c>
      <c r="B41" s="363" t="s">
        <v>74</v>
      </c>
      <c r="C41" s="366" t="s">
        <v>210</v>
      </c>
      <c r="D41" s="362" t="s">
        <v>209</v>
      </c>
      <c r="E41" s="370" t="s">
        <v>76</v>
      </c>
      <c r="F41" s="365">
        <v>35</v>
      </c>
      <c r="G41" s="360" t="s">
        <v>136</v>
      </c>
      <c r="H41" s="12" t="s">
        <v>141</v>
      </c>
    </row>
    <row r="42" spans="1:8" s="361" customFormat="1" ht="60.75">
      <c r="A42" s="308">
        <v>38</v>
      </c>
      <c r="B42" s="363" t="s">
        <v>74</v>
      </c>
      <c r="C42" s="366" t="s">
        <v>210</v>
      </c>
      <c r="D42" s="363" t="s">
        <v>209</v>
      </c>
      <c r="E42" s="370" t="s">
        <v>60</v>
      </c>
      <c r="F42" s="365">
        <v>49</v>
      </c>
      <c r="G42" s="360" t="s">
        <v>137</v>
      </c>
      <c r="H42" s="12" t="s">
        <v>141</v>
      </c>
    </row>
    <row r="43" spans="1:8" s="361" customFormat="1" ht="48.6" customHeight="1">
      <c r="A43" s="308">
        <v>39</v>
      </c>
      <c r="B43" s="363" t="s">
        <v>74</v>
      </c>
      <c r="C43" s="366" t="s">
        <v>208</v>
      </c>
      <c r="D43" s="366" t="s">
        <v>209</v>
      </c>
      <c r="E43" s="370" t="s">
        <v>11</v>
      </c>
      <c r="F43" s="365">
        <v>30</v>
      </c>
      <c r="G43" s="360" t="s">
        <v>136</v>
      </c>
      <c r="H43" s="12" t="s">
        <v>142</v>
      </c>
    </row>
    <row r="44" spans="1:8" s="361" customFormat="1" ht="24" customHeight="1">
      <c r="A44" s="308">
        <v>40</v>
      </c>
      <c r="B44" s="72" t="s">
        <v>79</v>
      </c>
      <c r="C44" s="363" t="s">
        <v>208</v>
      </c>
      <c r="D44" s="366" t="s">
        <v>209</v>
      </c>
      <c r="E44" s="80" t="s">
        <v>80</v>
      </c>
      <c r="F44" s="371">
        <v>42</v>
      </c>
      <c r="G44" s="360" t="s">
        <v>137</v>
      </c>
      <c r="H44" s="12" t="s">
        <v>142</v>
      </c>
    </row>
    <row r="45" spans="1:8" s="361" customFormat="1" ht="24" customHeight="1">
      <c r="A45" s="308">
        <v>41</v>
      </c>
      <c r="B45" s="72" t="s">
        <v>79</v>
      </c>
      <c r="C45" s="363" t="s">
        <v>208</v>
      </c>
      <c r="D45" s="362" t="s">
        <v>209</v>
      </c>
      <c r="E45" s="80" t="s">
        <v>37</v>
      </c>
      <c r="F45" s="365">
        <v>48</v>
      </c>
      <c r="G45" s="360" t="s">
        <v>136</v>
      </c>
      <c r="H45" s="12" t="s">
        <v>146</v>
      </c>
    </row>
    <row r="46" spans="1:8" s="361" customFormat="1" ht="24" customHeight="1">
      <c r="A46" s="308">
        <v>42</v>
      </c>
      <c r="B46" s="72" t="s">
        <v>79</v>
      </c>
      <c r="C46" s="363" t="s">
        <v>208</v>
      </c>
      <c r="D46" s="363" t="s">
        <v>209</v>
      </c>
      <c r="E46" s="80" t="s">
        <v>84</v>
      </c>
      <c r="F46" s="365">
        <v>49</v>
      </c>
      <c r="G46" s="360" t="s">
        <v>137</v>
      </c>
      <c r="H46" s="12" t="s">
        <v>141</v>
      </c>
    </row>
    <row r="47" spans="1:8" s="361" customFormat="1" ht="24" customHeight="1">
      <c r="A47" s="308">
        <v>43</v>
      </c>
      <c r="B47" s="362" t="s">
        <v>85</v>
      </c>
      <c r="C47" s="363" t="s">
        <v>208</v>
      </c>
      <c r="D47" s="366" t="s">
        <v>209</v>
      </c>
      <c r="E47" s="99" t="s">
        <v>86</v>
      </c>
      <c r="F47" s="371">
        <v>30</v>
      </c>
      <c r="G47" s="360" t="s">
        <v>136</v>
      </c>
      <c r="H47" s="12" t="s">
        <v>141</v>
      </c>
    </row>
    <row r="48" spans="1:8" s="361" customFormat="1" ht="24" customHeight="1">
      <c r="A48" s="308">
        <v>44</v>
      </c>
      <c r="B48" s="362" t="s">
        <v>85</v>
      </c>
      <c r="C48" s="72" t="s">
        <v>208</v>
      </c>
      <c r="D48" s="366" t="s">
        <v>209</v>
      </c>
      <c r="E48" s="99" t="s">
        <v>88</v>
      </c>
      <c r="F48" s="371">
        <v>30</v>
      </c>
      <c r="G48" s="360" t="s">
        <v>136</v>
      </c>
      <c r="H48" s="12" t="s">
        <v>141</v>
      </c>
    </row>
    <row r="49" spans="1:12" s="361" customFormat="1" ht="24" customHeight="1">
      <c r="A49" s="308">
        <v>45</v>
      </c>
      <c r="B49" s="362" t="s">
        <v>85</v>
      </c>
      <c r="C49" s="363" t="s">
        <v>208</v>
      </c>
      <c r="D49" s="37" t="s">
        <v>209</v>
      </c>
      <c r="E49" s="99" t="s">
        <v>90</v>
      </c>
      <c r="F49" s="371">
        <v>30</v>
      </c>
      <c r="G49" s="360" t="s">
        <v>136</v>
      </c>
      <c r="H49" s="12" t="s">
        <v>141</v>
      </c>
    </row>
    <row r="50" spans="1:12" s="361" customFormat="1" ht="24" customHeight="1">
      <c r="A50" s="308">
        <v>46</v>
      </c>
      <c r="B50" s="362" t="s">
        <v>85</v>
      </c>
      <c r="C50" s="72" t="s">
        <v>208</v>
      </c>
      <c r="D50" s="72" t="s">
        <v>209</v>
      </c>
      <c r="E50" s="99" t="s">
        <v>37</v>
      </c>
      <c r="F50" s="365">
        <v>48</v>
      </c>
      <c r="G50" s="360" t="s">
        <v>137</v>
      </c>
      <c r="H50" s="12" t="s">
        <v>146</v>
      </c>
    </row>
    <row r="51" spans="1:12" s="361" customFormat="1" ht="24" customHeight="1">
      <c r="A51" s="308">
        <v>47</v>
      </c>
      <c r="B51" s="239" t="s">
        <v>94</v>
      </c>
      <c r="C51" s="362" t="s">
        <v>208</v>
      </c>
      <c r="D51" s="362" t="s">
        <v>209</v>
      </c>
      <c r="E51" s="364" t="s">
        <v>95</v>
      </c>
      <c r="F51" s="365">
        <v>63</v>
      </c>
      <c r="G51" s="39" t="s">
        <v>138</v>
      </c>
      <c r="H51" s="30" t="s">
        <v>215</v>
      </c>
    </row>
    <row r="52" spans="1:12" ht="30.75" customHeight="1"/>
    <row r="53" spans="1:12">
      <c r="A53" s="43" t="s">
        <v>216</v>
      </c>
    </row>
    <row r="54" spans="1:12">
      <c r="A54" s="44" t="s">
        <v>217</v>
      </c>
      <c r="L54" s="44"/>
    </row>
    <row r="55" spans="1:12">
      <c r="B55" s="44"/>
      <c r="C55" s="44"/>
      <c r="D55" s="44"/>
      <c r="L55" s="44"/>
    </row>
    <row r="56" spans="1:12">
      <c r="B56" s="44"/>
      <c r="C56" s="44"/>
      <c r="D56" s="44"/>
    </row>
    <row r="92" spans="3:3">
      <c r="C92" s="45"/>
    </row>
  </sheetData>
  <mergeCells count="2">
    <mergeCell ref="A2:H2"/>
    <mergeCell ref="A3:H3"/>
  </mergeCells>
  <pageMargins left="0.55118110236220474" right="0.35433070866141736" top="0.15748031496062992" bottom="0.35433070866141736" header="0.11811023622047245" footer="0.11811023622047245"/>
  <pageSetup paperSize="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96"/>
  <sheetViews>
    <sheetView zoomScaleNormal="100" workbookViewId="0"/>
  </sheetViews>
  <sheetFormatPr defaultColWidth="9.140625" defaultRowHeight="20.25"/>
  <cols>
    <col min="1" max="1" width="8.42578125" style="42" customWidth="1"/>
    <col min="2" max="2" width="32.7109375" style="42" customWidth="1"/>
    <col min="3" max="3" width="16.5703125" style="42" customWidth="1"/>
    <col min="4" max="4" width="21.85546875" style="42" customWidth="1"/>
    <col min="5" max="5" width="25.28515625" style="2" customWidth="1"/>
    <col min="6" max="6" width="8.42578125" style="2" customWidth="1"/>
    <col min="7" max="7" width="13.28515625" style="2" customWidth="1"/>
    <col min="8" max="8" width="32.7109375" style="2" customWidth="1"/>
    <col min="9" max="16384" width="9.140625" style="2"/>
  </cols>
  <sheetData>
    <row r="1" spans="1:16">
      <c r="A1" s="2"/>
      <c r="B1" s="2"/>
      <c r="C1" s="2"/>
      <c r="D1" s="2"/>
      <c r="H1" s="3" t="s">
        <v>218</v>
      </c>
    </row>
    <row r="2" spans="1:16">
      <c r="A2" s="416" t="s">
        <v>219</v>
      </c>
      <c r="B2" s="416"/>
      <c r="C2" s="416"/>
      <c r="D2" s="416"/>
      <c r="E2" s="416"/>
      <c r="F2" s="416"/>
      <c r="G2" s="416"/>
      <c r="H2" s="416"/>
    </row>
    <row r="3" spans="1:16">
      <c r="A3" s="417" t="s">
        <v>2</v>
      </c>
      <c r="B3" s="417"/>
      <c r="C3" s="417"/>
      <c r="D3" s="417"/>
      <c r="E3" s="417"/>
      <c r="F3" s="417"/>
      <c r="G3" s="417"/>
      <c r="H3" s="417"/>
    </row>
    <row r="4" spans="1:16" s="7" customFormat="1" ht="23.25" customHeight="1">
      <c r="A4" s="5" t="s">
        <v>200</v>
      </c>
      <c r="B4" s="5" t="s">
        <v>201</v>
      </c>
      <c r="C4" s="5" t="s">
        <v>202</v>
      </c>
      <c r="D4" s="5" t="s">
        <v>203</v>
      </c>
      <c r="E4" s="5" t="s">
        <v>204</v>
      </c>
      <c r="F4" s="5" t="s">
        <v>205</v>
      </c>
      <c r="G4" s="5" t="s">
        <v>120</v>
      </c>
      <c r="H4" s="6" t="s">
        <v>206</v>
      </c>
    </row>
    <row r="5" spans="1:16" s="280" customFormat="1" ht="43.5" customHeight="1">
      <c r="A5" s="8"/>
      <c r="B5" s="9" t="s">
        <v>6</v>
      </c>
      <c r="C5" s="69" t="s">
        <v>208</v>
      </c>
      <c r="D5" s="77" t="s">
        <v>220</v>
      </c>
      <c r="E5" s="278" t="s">
        <v>8</v>
      </c>
      <c r="F5" s="69">
        <v>60</v>
      </c>
      <c r="G5" s="11" t="s">
        <v>137</v>
      </c>
      <c r="H5" s="30" t="s">
        <v>179</v>
      </c>
      <c r="I5" s="279"/>
      <c r="J5" s="279"/>
      <c r="K5" s="279"/>
      <c r="L5" s="279"/>
      <c r="M5" s="279"/>
      <c r="N5" s="279"/>
      <c r="O5" s="279"/>
      <c r="P5" s="279"/>
    </row>
    <row r="6" spans="1:16" s="19" customFormat="1">
      <c r="A6" s="14"/>
      <c r="B6" s="15"/>
      <c r="C6" s="69" t="s">
        <v>208</v>
      </c>
      <c r="D6" s="50" t="s">
        <v>220</v>
      </c>
      <c r="E6" s="21" t="s">
        <v>10</v>
      </c>
      <c r="F6" s="281">
        <v>45</v>
      </c>
      <c r="G6" s="18" t="s">
        <v>136</v>
      </c>
      <c r="H6" s="12" t="s">
        <v>180</v>
      </c>
    </row>
    <row r="7" spans="1:16" s="19" customFormat="1">
      <c r="A7" s="14"/>
      <c r="B7" s="15"/>
      <c r="C7" s="69" t="s">
        <v>208</v>
      </c>
      <c r="D7" s="50" t="s">
        <v>220</v>
      </c>
      <c r="E7" s="17" t="s">
        <v>12</v>
      </c>
      <c r="F7" s="281">
        <v>40</v>
      </c>
      <c r="G7" s="18" t="s">
        <v>136</v>
      </c>
      <c r="H7" s="12" t="s">
        <v>181</v>
      </c>
    </row>
    <row r="8" spans="1:16" s="283" customFormat="1">
      <c r="A8" s="14"/>
      <c r="B8" s="22"/>
      <c r="C8" s="69" t="s">
        <v>208</v>
      </c>
      <c r="D8" s="72" t="s">
        <v>220</v>
      </c>
      <c r="E8" s="51" t="s">
        <v>13</v>
      </c>
      <c r="F8" s="282">
        <v>60</v>
      </c>
      <c r="G8" s="18" t="s">
        <v>137</v>
      </c>
      <c r="H8" s="12" t="s">
        <v>181</v>
      </c>
      <c r="I8" s="19"/>
      <c r="J8" s="19"/>
      <c r="K8" s="19"/>
      <c r="L8" s="19"/>
      <c r="M8" s="19"/>
      <c r="N8" s="19"/>
    </row>
    <row r="9" spans="1:16" s="19" customFormat="1">
      <c r="A9" s="14"/>
      <c r="B9" s="22"/>
      <c r="C9" s="69" t="s">
        <v>208</v>
      </c>
      <c r="D9" s="72" t="s">
        <v>220</v>
      </c>
      <c r="E9" s="17" t="s">
        <v>14</v>
      </c>
      <c r="F9" s="281">
        <v>40</v>
      </c>
      <c r="G9" s="18" t="s">
        <v>136</v>
      </c>
      <c r="H9" s="12" t="s">
        <v>182</v>
      </c>
    </row>
    <row r="10" spans="1:16" s="19" customFormat="1">
      <c r="A10" s="14"/>
      <c r="B10" s="15"/>
      <c r="C10" s="69" t="s">
        <v>208</v>
      </c>
      <c r="D10" s="50" t="s">
        <v>220</v>
      </c>
      <c r="E10" s="21" t="s">
        <v>15</v>
      </c>
      <c r="F10" s="281">
        <v>36</v>
      </c>
      <c r="G10" s="18" t="s">
        <v>136</v>
      </c>
      <c r="H10" s="12" t="s">
        <v>180</v>
      </c>
    </row>
    <row r="11" spans="1:16" s="19" customFormat="1">
      <c r="A11" s="14"/>
      <c r="B11" s="24" t="s">
        <v>16</v>
      </c>
      <c r="C11" s="69" t="s">
        <v>208</v>
      </c>
      <c r="D11" s="77" t="s">
        <v>220</v>
      </c>
      <c r="E11" s="21" t="s">
        <v>17</v>
      </c>
      <c r="F11" s="281">
        <v>40</v>
      </c>
      <c r="G11" s="18" t="s">
        <v>136</v>
      </c>
      <c r="H11" s="12" t="s">
        <v>182</v>
      </c>
    </row>
    <row r="12" spans="1:16" s="283" customFormat="1">
      <c r="A12" s="284"/>
      <c r="B12" s="20"/>
      <c r="C12" s="69" t="s">
        <v>208</v>
      </c>
      <c r="D12" s="77" t="s">
        <v>220</v>
      </c>
      <c r="E12" s="51" t="s">
        <v>18</v>
      </c>
      <c r="F12" s="285">
        <v>40</v>
      </c>
      <c r="G12" s="286" t="s">
        <v>136</v>
      </c>
      <c r="H12" s="12" t="s">
        <v>181</v>
      </c>
      <c r="I12" s="287"/>
      <c r="J12" s="287"/>
      <c r="K12" s="287"/>
      <c r="L12" s="287"/>
    </row>
    <row r="13" spans="1:16" s="19" customFormat="1">
      <c r="A13" s="14"/>
      <c r="B13" s="22"/>
      <c r="C13" s="69" t="s">
        <v>208</v>
      </c>
      <c r="D13" s="72" t="s">
        <v>220</v>
      </c>
      <c r="E13" s="17" t="s">
        <v>19</v>
      </c>
      <c r="F13" s="281">
        <v>44</v>
      </c>
      <c r="G13" s="18" t="s">
        <v>136</v>
      </c>
      <c r="H13" s="12" t="s">
        <v>181</v>
      </c>
    </row>
    <row r="14" spans="1:16" s="19" customFormat="1">
      <c r="A14" s="14"/>
      <c r="B14" s="24" t="s">
        <v>20</v>
      </c>
      <c r="C14" s="69" t="s">
        <v>208</v>
      </c>
      <c r="D14" s="77" t="s">
        <v>220</v>
      </c>
      <c r="E14" s="21" t="s">
        <v>21</v>
      </c>
      <c r="F14" s="281">
        <v>35</v>
      </c>
      <c r="G14" s="18" t="s">
        <v>136</v>
      </c>
      <c r="H14" s="12" t="s">
        <v>180</v>
      </c>
    </row>
    <row r="15" spans="1:16" s="19" customFormat="1">
      <c r="A15" s="14"/>
      <c r="B15" s="22"/>
      <c r="C15" s="69" t="s">
        <v>208</v>
      </c>
      <c r="D15" s="72" t="s">
        <v>220</v>
      </c>
      <c r="E15" s="17" t="s">
        <v>23</v>
      </c>
      <c r="F15" s="281">
        <v>36</v>
      </c>
      <c r="G15" s="18" t="s">
        <v>136</v>
      </c>
      <c r="H15" s="12" t="s">
        <v>180</v>
      </c>
    </row>
    <row r="16" spans="1:16" s="19" customFormat="1">
      <c r="A16" s="14"/>
      <c r="B16" s="24" t="s">
        <v>24</v>
      </c>
      <c r="C16" s="69" t="s">
        <v>208</v>
      </c>
      <c r="D16" s="77" t="s">
        <v>220</v>
      </c>
      <c r="E16" s="17" t="s">
        <v>25</v>
      </c>
      <c r="F16" s="281">
        <v>35</v>
      </c>
      <c r="G16" s="18" t="s">
        <v>136</v>
      </c>
      <c r="H16" s="12" t="s">
        <v>180</v>
      </c>
    </row>
    <row r="17" spans="1:12" s="19" customFormat="1">
      <c r="A17" s="14"/>
      <c r="B17" s="15"/>
      <c r="C17" s="69" t="s">
        <v>208</v>
      </c>
      <c r="D17" s="50" t="s">
        <v>220</v>
      </c>
      <c r="E17" s="17" t="s">
        <v>23</v>
      </c>
      <c r="F17" s="281">
        <v>36</v>
      </c>
      <c r="G17" s="18" t="s">
        <v>136</v>
      </c>
      <c r="H17" s="12" t="s">
        <v>180</v>
      </c>
    </row>
    <row r="18" spans="1:12" s="19" customFormat="1">
      <c r="A18" s="14"/>
      <c r="B18" s="22"/>
      <c r="C18" s="69" t="s">
        <v>208</v>
      </c>
      <c r="D18" s="72" t="s">
        <v>220</v>
      </c>
      <c r="E18" s="17" t="s">
        <v>27</v>
      </c>
      <c r="F18" s="281">
        <v>36</v>
      </c>
      <c r="G18" s="18" t="s">
        <v>136</v>
      </c>
      <c r="H18" s="12" t="s">
        <v>180</v>
      </c>
    </row>
    <row r="19" spans="1:12">
      <c r="A19" s="40"/>
      <c r="B19" s="22"/>
      <c r="C19" s="69" t="s">
        <v>208</v>
      </c>
      <c r="D19" s="72" t="s">
        <v>220</v>
      </c>
      <c r="E19" s="17" t="s">
        <v>29</v>
      </c>
      <c r="F19" s="281">
        <v>36</v>
      </c>
      <c r="G19" s="40" t="s">
        <v>136</v>
      </c>
      <c r="H19" s="12" t="s">
        <v>180</v>
      </c>
    </row>
    <row r="20" spans="1:12">
      <c r="A20" s="40"/>
      <c r="B20" s="24" t="s">
        <v>30</v>
      </c>
      <c r="C20" s="20" t="s">
        <v>210</v>
      </c>
      <c r="D20" s="77" t="s">
        <v>220</v>
      </c>
      <c r="E20" s="17" t="s">
        <v>25</v>
      </c>
      <c r="F20" s="281">
        <v>35</v>
      </c>
      <c r="G20" s="40" t="s">
        <v>136</v>
      </c>
      <c r="H20" s="12" t="s">
        <v>180</v>
      </c>
    </row>
    <row r="21" spans="1:12">
      <c r="A21" s="288"/>
      <c r="B21" s="22"/>
      <c r="C21" s="20" t="s">
        <v>210</v>
      </c>
      <c r="D21" s="72" t="s">
        <v>220</v>
      </c>
      <c r="E21" s="17" t="s">
        <v>23</v>
      </c>
      <c r="F21" s="281">
        <v>36</v>
      </c>
      <c r="G21" s="40" t="s">
        <v>136</v>
      </c>
      <c r="H21" s="12" t="s">
        <v>180</v>
      </c>
    </row>
    <row r="22" spans="1:12">
      <c r="A22" s="289"/>
      <c r="B22" s="22"/>
      <c r="C22" s="20" t="s">
        <v>210</v>
      </c>
      <c r="D22" s="72" t="s">
        <v>220</v>
      </c>
      <c r="E22" s="17" t="s">
        <v>27</v>
      </c>
      <c r="F22" s="281">
        <v>36</v>
      </c>
      <c r="G22" s="40" t="s">
        <v>136</v>
      </c>
      <c r="H22" s="12" t="s">
        <v>180</v>
      </c>
      <c r="L22" s="44"/>
    </row>
    <row r="23" spans="1:12">
      <c r="A23" s="40"/>
      <c r="B23" s="22"/>
      <c r="C23" s="20" t="s">
        <v>210</v>
      </c>
      <c r="D23" s="72" t="s">
        <v>220</v>
      </c>
      <c r="E23" s="181" t="s">
        <v>29</v>
      </c>
      <c r="F23" s="281">
        <v>36</v>
      </c>
      <c r="G23" s="40" t="s">
        <v>136</v>
      </c>
      <c r="H23" s="12" t="s">
        <v>180</v>
      </c>
      <c r="L23" s="44"/>
    </row>
    <row r="24" spans="1:12">
      <c r="A24" s="40"/>
      <c r="B24" s="24" t="s">
        <v>31</v>
      </c>
      <c r="C24" s="20" t="s">
        <v>208</v>
      </c>
      <c r="D24" s="77" t="s">
        <v>220</v>
      </c>
      <c r="E24" s="17" t="s">
        <v>21</v>
      </c>
      <c r="F24" s="281">
        <v>42</v>
      </c>
      <c r="G24" s="40" t="s">
        <v>136</v>
      </c>
      <c r="H24" s="12" t="s">
        <v>180</v>
      </c>
    </row>
    <row r="25" spans="1:12">
      <c r="A25" s="40"/>
      <c r="B25" s="24" t="s">
        <v>32</v>
      </c>
      <c r="C25" s="20" t="s">
        <v>208</v>
      </c>
      <c r="D25" s="77" t="s">
        <v>220</v>
      </c>
      <c r="E25" s="17" t="s">
        <v>34</v>
      </c>
      <c r="F25" s="281">
        <v>36</v>
      </c>
      <c r="G25" s="40" t="s">
        <v>136</v>
      </c>
      <c r="H25" s="12" t="s">
        <v>180</v>
      </c>
    </row>
    <row r="26" spans="1:12">
      <c r="A26" s="40"/>
      <c r="B26" s="22"/>
      <c r="C26" s="36" t="s">
        <v>208</v>
      </c>
      <c r="D26" s="72" t="s">
        <v>220</v>
      </c>
      <c r="E26" s="17" t="s">
        <v>35</v>
      </c>
      <c r="F26" s="281">
        <v>36</v>
      </c>
      <c r="G26" s="40" t="s">
        <v>136</v>
      </c>
      <c r="H26" s="12" t="s">
        <v>180</v>
      </c>
    </row>
    <row r="27" spans="1:12">
      <c r="A27" s="40"/>
      <c r="B27" s="24" t="s">
        <v>36</v>
      </c>
      <c r="C27" s="20" t="s">
        <v>210</v>
      </c>
      <c r="D27" s="77" t="s">
        <v>220</v>
      </c>
      <c r="E27" s="17" t="s">
        <v>38</v>
      </c>
      <c r="F27" s="281">
        <v>40</v>
      </c>
      <c r="G27" s="40" t="s">
        <v>136</v>
      </c>
      <c r="H27" s="12" t="s">
        <v>183</v>
      </c>
    </row>
    <row r="28" spans="1:12" ht="54">
      <c r="A28" s="40"/>
      <c r="B28" s="22"/>
      <c r="C28" s="72" t="s">
        <v>210</v>
      </c>
      <c r="D28" s="72" t="s">
        <v>220</v>
      </c>
      <c r="E28" s="27" t="s">
        <v>40</v>
      </c>
      <c r="F28" s="290">
        <v>40</v>
      </c>
      <c r="G28" s="291" t="s">
        <v>136</v>
      </c>
      <c r="H28" s="12" t="s">
        <v>180</v>
      </c>
    </row>
    <row r="29" spans="1:12">
      <c r="A29" s="40"/>
      <c r="B29" s="23"/>
      <c r="C29" s="72" t="s">
        <v>210</v>
      </c>
      <c r="D29" s="77" t="s">
        <v>220</v>
      </c>
      <c r="E29" s="278" t="s">
        <v>42</v>
      </c>
      <c r="F29" s="69">
        <v>44</v>
      </c>
      <c r="G29" s="291" t="s">
        <v>136</v>
      </c>
      <c r="H29" s="12" t="s">
        <v>181</v>
      </c>
    </row>
    <row r="30" spans="1:12">
      <c r="A30" s="40"/>
      <c r="B30" s="22"/>
      <c r="C30" s="72" t="s">
        <v>210</v>
      </c>
      <c r="D30" s="72" t="s">
        <v>220</v>
      </c>
      <c r="E30" s="278" t="s">
        <v>43</v>
      </c>
      <c r="F30" s="69">
        <v>44</v>
      </c>
      <c r="G30" s="291" t="s">
        <v>136</v>
      </c>
      <c r="H30" s="12" t="s">
        <v>181</v>
      </c>
    </row>
    <row r="31" spans="1:12">
      <c r="A31" s="40"/>
      <c r="B31" s="22"/>
      <c r="C31" s="72" t="s">
        <v>210</v>
      </c>
      <c r="D31" s="72" t="s">
        <v>220</v>
      </c>
      <c r="E31" s="10" t="s">
        <v>44</v>
      </c>
      <c r="F31" s="290">
        <v>40</v>
      </c>
      <c r="G31" s="291" t="s">
        <v>136</v>
      </c>
      <c r="H31" s="12" t="s">
        <v>180</v>
      </c>
    </row>
    <row r="32" spans="1:12">
      <c r="A32" s="40"/>
      <c r="B32" s="24" t="s">
        <v>184</v>
      </c>
      <c r="C32" s="77" t="s">
        <v>208</v>
      </c>
      <c r="D32" s="77" t="s">
        <v>220</v>
      </c>
      <c r="E32" s="93" t="s">
        <v>48</v>
      </c>
      <c r="F32" s="290">
        <v>36</v>
      </c>
      <c r="G32" s="291" t="s">
        <v>136</v>
      </c>
      <c r="H32" s="12" t="s">
        <v>180</v>
      </c>
    </row>
    <row r="33" spans="1:8" ht="36">
      <c r="A33" s="40"/>
      <c r="B33" s="23"/>
      <c r="C33" s="50" t="s">
        <v>208</v>
      </c>
      <c r="D33" s="50" t="s">
        <v>220</v>
      </c>
      <c r="E33" s="292" t="s">
        <v>49</v>
      </c>
      <c r="F33" s="290">
        <v>36</v>
      </c>
      <c r="G33" s="291" t="s">
        <v>136</v>
      </c>
      <c r="H33" s="12" t="s">
        <v>180</v>
      </c>
    </row>
    <row r="34" spans="1:8">
      <c r="A34" s="40"/>
      <c r="B34" s="22"/>
      <c r="C34" s="36" t="s">
        <v>208</v>
      </c>
      <c r="D34" s="72" t="s">
        <v>220</v>
      </c>
      <c r="E34" s="29" t="s">
        <v>50</v>
      </c>
      <c r="F34" s="281">
        <v>44</v>
      </c>
      <c r="G34" s="40" t="s">
        <v>136</v>
      </c>
      <c r="H34" s="12" t="s">
        <v>181</v>
      </c>
    </row>
    <row r="35" spans="1:8">
      <c r="A35" s="40"/>
      <c r="B35" s="15"/>
      <c r="C35" s="15" t="s">
        <v>208</v>
      </c>
      <c r="D35" s="50" t="s">
        <v>220</v>
      </c>
      <c r="E35" s="17" t="s">
        <v>51</v>
      </c>
      <c r="F35" s="281">
        <v>40</v>
      </c>
      <c r="G35" s="40" t="s">
        <v>136</v>
      </c>
      <c r="H35" s="12" t="s">
        <v>180</v>
      </c>
    </row>
    <row r="36" spans="1:8" ht="175.5" customHeight="1">
      <c r="A36" s="40"/>
      <c r="B36" s="293" t="s">
        <v>52</v>
      </c>
      <c r="C36" s="69" t="s">
        <v>208</v>
      </c>
      <c r="D36" s="69" t="s">
        <v>221</v>
      </c>
      <c r="E36" s="278" t="s">
        <v>55</v>
      </c>
      <c r="F36" s="69">
        <v>48</v>
      </c>
      <c r="G36" s="294" t="s">
        <v>136</v>
      </c>
      <c r="H36" s="295" t="s">
        <v>222</v>
      </c>
    </row>
    <row r="37" spans="1:8" ht="84.75" customHeight="1">
      <c r="A37" s="40"/>
      <c r="B37" s="278"/>
      <c r="C37" s="77" t="s">
        <v>208</v>
      </c>
      <c r="D37" s="77" t="s">
        <v>220</v>
      </c>
      <c r="E37" s="296" t="s">
        <v>57</v>
      </c>
      <c r="F37" s="69">
        <v>48</v>
      </c>
      <c r="G37" s="294" t="s">
        <v>136</v>
      </c>
      <c r="H37" s="295" t="s">
        <v>223</v>
      </c>
    </row>
    <row r="38" spans="1:8" ht="36">
      <c r="A38" s="40"/>
      <c r="B38" s="24"/>
      <c r="C38" s="77" t="s">
        <v>208</v>
      </c>
      <c r="D38" s="77" t="s">
        <v>220</v>
      </c>
      <c r="E38" s="27" t="s">
        <v>59</v>
      </c>
      <c r="F38" s="290">
        <v>40</v>
      </c>
      <c r="G38" s="291" t="s">
        <v>136</v>
      </c>
      <c r="H38" s="12" t="s">
        <v>180</v>
      </c>
    </row>
    <row r="39" spans="1:8">
      <c r="A39" s="40"/>
      <c r="B39" s="20" t="s">
        <v>61</v>
      </c>
      <c r="C39" s="20" t="s">
        <v>210</v>
      </c>
      <c r="D39" s="77" t="s">
        <v>220</v>
      </c>
      <c r="E39" s="17" t="s">
        <v>57</v>
      </c>
      <c r="F39" s="281">
        <v>40</v>
      </c>
      <c r="G39" s="40" t="s">
        <v>136</v>
      </c>
      <c r="H39" s="12" t="s">
        <v>183</v>
      </c>
    </row>
    <row r="40" spans="1:8">
      <c r="A40" s="40"/>
      <c r="B40" s="116"/>
      <c r="C40" s="297" t="s">
        <v>210</v>
      </c>
      <c r="D40" s="75" t="s">
        <v>220</v>
      </c>
      <c r="E40" s="278" t="s">
        <v>42</v>
      </c>
      <c r="F40" s="282">
        <v>44</v>
      </c>
      <c r="G40" s="40" t="s">
        <v>136</v>
      </c>
      <c r="H40" s="12" t="s">
        <v>181</v>
      </c>
    </row>
    <row r="41" spans="1:8" ht="36">
      <c r="A41" s="40"/>
      <c r="B41" s="116"/>
      <c r="C41" s="297" t="s">
        <v>210</v>
      </c>
      <c r="D41" s="75" t="s">
        <v>220</v>
      </c>
      <c r="E41" s="293" t="s">
        <v>43</v>
      </c>
      <c r="F41" s="282">
        <v>44</v>
      </c>
      <c r="G41" s="40" t="s">
        <v>136</v>
      </c>
      <c r="H41" s="12" t="s">
        <v>181</v>
      </c>
    </row>
    <row r="42" spans="1:8" ht="36">
      <c r="A42" s="40"/>
      <c r="B42" s="23"/>
      <c r="C42" s="298" t="s">
        <v>210</v>
      </c>
      <c r="D42" s="50" t="s">
        <v>220</v>
      </c>
      <c r="E42" s="27" t="s">
        <v>64</v>
      </c>
      <c r="F42" s="290">
        <v>40</v>
      </c>
      <c r="G42" s="291" t="s">
        <v>136</v>
      </c>
      <c r="H42" s="12" t="s">
        <v>180</v>
      </c>
    </row>
    <row r="43" spans="1:8" ht="54">
      <c r="A43" s="40"/>
      <c r="B43" s="116"/>
      <c r="C43" s="298" t="s">
        <v>210</v>
      </c>
      <c r="D43" s="75" t="s">
        <v>220</v>
      </c>
      <c r="E43" s="27" t="s">
        <v>65</v>
      </c>
      <c r="F43" s="290">
        <v>40</v>
      </c>
      <c r="G43" s="291" t="s">
        <v>136</v>
      </c>
      <c r="H43" s="12" t="s">
        <v>180</v>
      </c>
    </row>
    <row r="44" spans="1:8">
      <c r="A44" s="40"/>
      <c r="B44" s="20" t="s">
        <v>66</v>
      </c>
      <c r="C44" s="299" t="s">
        <v>208</v>
      </c>
      <c r="D44" s="77" t="s">
        <v>220</v>
      </c>
      <c r="E44" s="17" t="s">
        <v>68</v>
      </c>
      <c r="F44" s="300">
        <v>40</v>
      </c>
      <c r="G44" s="40" t="s">
        <v>136</v>
      </c>
      <c r="H44" s="12" t="s">
        <v>180</v>
      </c>
    </row>
    <row r="45" spans="1:8">
      <c r="A45" s="40"/>
      <c r="B45" s="23"/>
      <c r="C45" s="301" t="s">
        <v>208</v>
      </c>
      <c r="D45" s="50" t="s">
        <v>220</v>
      </c>
      <c r="E45" s="17" t="s">
        <v>69</v>
      </c>
      <c r="F45" s="300">
        <v>32</v>
      </c>
      <c r="G45" s="40" t="s">
        <v>136</v>
      </c>
      <c r="H45" s="12" t="s">
        <v>180</v>
      </c>
    </row>
    <row r="46" spans="1:8" ht="36">
      <c r="A46" s="40"/>
      <c r="B46" s="15"/>
      <c r="C46" s="302" t="s">
        <v>208</v>
      </c>
      <c r="D46" s="50" t="s">
        <v>220</v>
      </c>
      <c r="E46" s="27" t="s">
        <v>70</v>
      </c>
      <c r="F46" s="303">
        <v>32</v>
      </c>
      <c r="G46" s="291" t="s">
        <v>136</v>
      </c>
      <c r="H46" s="12" t="s">
        <v>180</v>
      </c>
    </row>
    <row r="47" spans="1:8" ht="60.75">
      <c r="A47" s="40"/>
      <c r="B47" s="9" t="s">
        <v>71</v>
      </c>
      <c r="C47" s="78" t="s">
        <v>210</v>
      </c>
      <c r="D47" s="69" t="s">
        <v>220</v>
      </c>
      <c r="E47" s="10" t="s">
        <v>57</v>
      </c>
      <c r="F47" s="303">
        <v>32</v>
      </c>
      <c r="G47" s="291" t="s">
        <v>136</v>
      </c>
      <c r="H47" s="30" t="s">
        <v>187</v>
      </c>
    </row>
    <row r="48" spans="1:8">
      <c r="A48" s="40"/>
      <c r="B48" s="116"/>
      <c r="C48" s="297" t="s">
        <v>210</v>
      </c>
      <c r="D48" s="75" t="s">
        <v>220</v>
      </c>
      <c r="E48" s="17" t="s">
        <v>73</v>
      </c>
      <c r="F48" s="300">
        <v>32</v>
      </c>
      <c r="G48" s="40" t="s">
        <v>136</v>
      </c>
      <c r="H48" s="12" t="s">
        <v>181</v>
      </c>
    </row>
    <row r="49" spans="1:8">
      <c r="A49" s="40"/>
      <c r="B49" s="116"/>
      <c r="C49" s="297" t="s">
        <v>210</v>
      </c>
      <c r="D49" s="75" t="s">
        <v>220</v>
      </c>
      <c r="E49" s="17" t="s">
        <v>77</v>
      </c>
      <c r="F49" s="300">
        <v>32</v>
      </c>
      <c r="G49" s="40" t="s">
        <v>136</v>
      </c>
      <c r="H49" s="12" t="s">
        <v>180</v>
      </c>
    </row>
    <row r="50" spans="1:8">
      <c r="A50" s="40"/>
      <c r="B50" s="15"/>
      <c r="C50" s="297" t="s">
        <v>210</v>
      </c>
      <c r="D50" s="50" t="s">
        <v>220</v>
      </c>
      <c r="E50" s="17" t="s">
        <v>78</v>
      </c>
      <c r="F50" s="281">
        <v>40</v>
      </c>
      <c r="G50" s="40" t="s">
        <v>136</v>
      </c>
      <c r="H50" s="12" t="s">
        <v>180</v>
      </c>
    </row>
    <row r="51" spans="1:8">
      <c r="A51" s="40"/>
      <c r="B51" s="33" t="s">
        <v>224</v>
      </c>
      <c r="C51" s="304" t="s">
        <v>208</v>
      </c>
      <c r="D51" s="92" t="s">
        <v>220</v>
      </c>
      <c r="E51" s="29" t="s">
        <v>82</v>
      </c>
      <c r="F51" s="281">
        <v>40</v>
      </c>
      <c r="G51" s="40" t="s">
        <v>136</v>
      </c>
      <c r="H51" s="12" t="s">
        <v>181</v>
      </c>
    </row>
    <row r="52" spans="1:8">
      <c r="A52" s="40"/>
      <c r="B52" s="15"/>
      <c r="C52" s="297" t="s">
        <v>208</v>
      </c>
      <c r="D52" s="50" t="s">
        <v>220</v>
      </c>
      <c r="E52" s="29" t="s">
        <v>57</v>
      </c>
      <c r="F52" s="300">
        <v>32</v>
      </c>
      <c r="G52" s="40" t="s">
        <v>136</v>
      </c>
      <c r="H52" s="12" t="s">
        <v>183</v>
      </c>
    </row>
    <row r="53" spans="1:8">
      <c r="A53" s="40"/>
      <c r="B53" s="24" t="s">
        <v>85</v>
      </c>
      <c r="C53" s="304" t="s">
        <v>208</v>
      </c>
      <c r="D53" s="77" t="s">
        <v>220</v>
      </c>
      <c r="E53" s="34" t="s">
        <v>87</v>
      </c>
      <c r="F53" s="300">
        <v>45</v>
      </c>
      <c r="G53" s="40" t="s">
        <v>136</v>
      </c>
      <c r="H53" s="12" t="s">
        <v>180</v>
      </c>
    </row>
    <row r="54" spans="1:8">
      <c r="A54" s="40"/>
      <c r="B54" s="305"/>
      <c r="C54" s="304" t="s">
        <v>208</v>
      </c>
      <c r="D54" s="303" t="s">
        <v>220</v>
      </c>
      <c r="E54" s="34" t="s">
        <v>89</v>
      </c>
      <c r="F54" s="300">
        <v>36</v>
      </c>
      <c r="G54" s="40" t="s">
        <v>136</v>
      </c>
      <c r="H54" s="12" t="s">
        <v>180</v>
      </c>
    </row>
    <row r="55" spans="1:8" ht="60.75">
      <c r="A55" s="40"/>
      <c r="B55" s="234"/>
      <c r="C55" s="297" t="s">
        <v>208</v>
      </c>
      <c r="D55" s="303" t="s">
        <v>220</v>
      </c>
      <c r="E55" s="306" t="s">
        <v>91</v>
      </c>
      <c r="F55" s="300">
        <v>36</v>
      </c>
      <c r="G55" s="40" t="s">
        <v>136</v>
      </c>
      <c r="H55" s="12" t="s">
        <v>180</v>
      </c>
    </row>
    <row r="56" spans="1:8">
      <c r="A56" s="40"/>
      <c r="B56" s="234"/>
      <c r="C56" s="304" t="s">
        <v>208</v>
      </c>
      <c r="D56" s="303" t="s">
        <v>220</v>
      </c>
      <c r="E56" s="34" t="s">
        <v>92</v>
      </c>
      <c r="F56" s="300">
        <v>36</v>
      </c>
      <c r="G56" s="40" t="s">
        <v>136</v>
      </c>
      <c r="H56" s="12" t="s">
        <v>180</v>
      </c>
    </row>
    <row r="57" spans="1:8">
      <c r="A57" s="40"/>
      <c r="B57" s="305"/>
      <c r="C57" s="307" t="s">
        <v>208</v>
      </c>
      <c r="D57" s="303" t="s">
        <v>220</v>
      </c>
      <c r="E57" s="34" t="s">
        <v>93</v>
      </c>
      <c r="F57" s="300">
        <v>36</v>
      </c>
      <c r="G57" s="40" t="s">
        <v>136</v>
      </c>
      <c r="H57" s="12" t="s">
        <v>183</v>
      </c>
    </row>
    <row r="58" spans="1:8">
      <c r="A58" s="40"/>
      <c r="B58" s="239" t="s">
        <v>94</v>
      </c>
      <c r="C58" s="78" t="s">
        <v>208</v>
      </c>
      <c r="D58" s="69" t="s">
        <v>220</v>
      </c>
      <c r="E58" s="80" t="s">
        <v>97</v>
      </c>
      <c r="F58" s="69">
        <v>104</v>
      </c>
      <c r="G58" s="308" t="s">
        <v>138</v>
      </c>
      <c r="H58" s="12" t="s">
        <v>149</v>
      </c>
    </row>
    <row r="59" spans="1:8">
      <c r="A59" s="40"/>
      <c r="B59" s="309"/>
      <c r="C59" s="310" t="s">
        <v>208</v>
      </c>
      <c r="D59" s="311" t="s">
        <v>220</v>
      </c>
      <c r="E59" s="80" t="s">
        <v>99</v>
      </c>
      <c r="F59" s="69">
        <v>104</v>
      </c>
      <c r="G59" s="308" t="s">
        <v>138</v>
      </c>
      <c r="H59" s="12" t="s">
        <v>149</v>
      </c>
    </row>
    <row r="60" spans="1:8">
      <c r="A60" s="40"/>
      <c r="B60" s="40"/>
      <c r="C60" s="40"/>
      <c r="D60" s="40"/>
      <c r="E60" s="41"/>
      <c r="F60" s="41"/>
      <c r="G60" s="41"/>
      <c r="H60" s="41"/>
    </row>
    <row r="61" spans="1:8" ht="33.75" customHeight="1">
      <c r="A61" s="43"/>
    </row>
    <row r="63" spans="1:8" s="314" customFormat="1" ht="18">
      <c r="A63" s="323" t="s">
        <v>225</v>
      </c>
      <c r="B63" s="313"/>
      <c r="C63" s="312"/>
      <c r="D63" s="312"/>
    </row>
    <row r="64" spans="1:8" s="314" customFormat="1">
      <c r="A64" s="44" t="s">
        <v>226</v>
      </c>
      <c r="B64" s="2"/>
      <c r="C64" s="2"/>
      <c r="D64" s="2"/>
    </row>
    <row r="96" spans="3:3">
      <c r="C96" s="45"/>
    </row>
  </sheetData>
  <autoFilter ref="A1:H59" xr:uid="{00000000-0001-0000-0400-000000000000}"/>
  <mergeCells count="2">
    <mergeCell ref="A2:H2"/>
    <mergeCell ref="A3:H3"/>
  </mergeCells>
  <pageMargins left="0.70866141732283472" right="0.70866141732283472" top="0.74803149606299213" bottom="0.74803149606299213" header="0.31496062992125984" footer="0.31496062992125984"/>
  <pageSetup paperSize="9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63"/>
  <sheetViews>
    <sheetView topLeftCell="A5" zoomScale="130" zoomScaleNormal="130" zoomScaleSheetLayoutView="100" workbookViewId="0">
      <selection activeCell="E5" sqref="E5"/>
    </sheetView>
  </sheetViews>
  <sheetFormatPr defaultColWidth="9.140625" defaultRowHeight="18"/>
  <cols>
    <col min="1" max="1" width="8.42578125" style="312" customWidth="1"/>
    <col min="2" max="2" width="44" style="313" customWidth="1"/>
    <col min="3" max="3" width="16.5703125" style="312" customWidth="1"/>
    <col min="4" max="4" width="21.85546875" style="312" customWidth="1"/>
    <col min="5" max="5" width="25.28515625" style="314" customWidth="1"/>
    <col min="6" max="6" width="8.42578125" style="314" customWidth="1"/>
    <col min="7" max="7" width="13.28515625" style="314" customWidth="1"/>
    <col min="8" max="8" width="54.28515625" style="314" customWidth="1"/>
    <col min="9" max="16384" width="9.140625" style="314"/>
  </cols>
  <sheetData>
    <row r="1" spans="1:8" s="326" customFormat="1">
      <c r="A1" s="324"/>
      <c r="B1" s="325"/>
      <c r="H1" s="327" t="s">
        <v>218</v>
      </c>
    </row>
    <row r="2" spans="1:8" s="326" customFormat="1">
      <c r="A2" s="372" t="s">
        <v>219</v>
      </c>
      <c r="B2" s="372"/>
      <c r="C2" s="372"/>
      <c r="D2" s="372"/>
      <c r="E2" s="372"/>
      <c r="F2" s="372"/>
      <c r="G2" s="372"/>
      <c r="H2" s="372"/>
    </row>
    <row r="3" spans="1:8" s="326" customFormat="1">
      <c r="A3" s="373" t="s">
        <v>2</v>
      </c>
      <c r="B3" s="373"/>
      <c r="C3" s="373"/>
      <c r="D3" s="373"/>
      <c r="E3" s="373"/>
      <c r="F3" s="373"/>
      <c r="G3" s="373"/>
      <c r="H3" s="373"/>
    </row>
    <row r="4" spans="1:8" s="326" customFormat="1">
      <c r="A4" s="328" t="s">
        <v>200</v>
      </c>
      <c r="B4" s="328" t="s">
        <v>201</v>
      </c>
      <c r="C4" s="328" t="s">
        <v>202</v>
      </c>
      <c r="D4" s="328" t="s">
        <v>203</v>
      </c>
      <c r="E4" s="328" t="s">
        <v>204</v>
      </c>
      <c r="F4" s="328" t="s">
        <v>205</v>
      </c>
      <c r="G4" s="328" t="s">
        <v>120</v>
      </c>
      <c r="H4" s="328" t="s">
        <v>206</v>
      </c>
    </row>
    <row r="5" spans="1:8" ht="45" customHeight="1">
      <c r="A5" s="315">
        <v>1</v>
      </c>
      <c r="B5" s="234" t="s">
        <v>227</v>
      </c>
      <c r="C5" s="316" t="s">
        <v>208</v>
      </c>
      <c r="D5" s="316" t="s">
        <v>220</v>
      </c>
      <c r="E5" s="99" t="s">
        <v>97</v>
      </c>
      <c r="F5" s="303">
        <v>104</v>
      </c>
      <c r="G5" s="315" t="s">
        <v>138</v>
      </c>
      <c r="H5" s="169" t="s">
        <v>228</v>
      </c>
    </row>
    <row r="6" spans="1:8" ht="45" customHeight="1">
      <c r="A6" s="315">
        <v>2</v>
      </c>
      <c r="B6" s="234" t="s">
        <v>229</v>
      </c>
      <c r="C6" s="316" t="s">
        <v>208</v>
      </c>
      <c r="D6" s="316" t="s">
        <v>220</v>
      </c>
      <c r="E6" s="99" t="s">
        <v>99</v>
      </c>
      <c r="F6" s="303">
        <v>104</v>
      </c>
      <c r="G6" s="315" t="s">
        <v>138</v>
      </c>
      <c r="H6" s="169" t="s">
        <v>230</v>
      </c>
    </row>
    <row r="7" spans="1:8" ht="45" customHeight="1">
      <c r="A7" s="315">
        <v>3</v>
      </c>
      <c r="B7" s="234" t="s">
        <v>6</v>
      </c>
      <c r="C7" s="303" t="s">
        <v>208</v>
      </c>
      <c r="D7" s="316" t="s">
        <v>220</v>
      </c>
      <c r="E7" s="159" t="s">
        <v>8</v>
      </c>
      <c r="F7" s="303">
        <v>60</v>
      </c>
      <c r="G7" s="315" t="s">
        <v>137</v>
      </c>
      <c r="H7" s="169" t="s">
        <v>231</v>
      </c>
    </row>
    <row r="8" spans="1:8" ht="87" customHeight="1">
      <c r="A8" s="315">
        <v>4</v>
      </c>
      <c r="B8" s="234" t="s">
        <v>6</v>
      </c>
      <c r="C8" s="303" t="s">
        <v>208</v>
      </c>
      <c r="D8" s="235" t="s">
        <v>220</v>
      </c>
      <c r="E8" s="159" t="s">
        <v>13</v>
      </c>
      <c r="F8" s="303">
        <v>60</v>
      </c>
      <c r="G8" s="317" t="s">
        <v>137</v>
      </c>
      <c r="H8" s="169" t="s">
        <v>232</v>
      </c>
    </row>
    <row r="9" spans="1:8" ht="87.6" customHeight="1">
      <c r="A9" s="315">
        <v>5</v>
      </c>
      <c r="B9" s="234" t="s">
        <v>52</v>
      </c>
      <c r="C9" s="303" t="s">
        <v>208</v>
      </c>
      <c r="D9" s="303" t="s">
        <v>221</v>
      </c>
      <c r="E9" s="159" t="s">
        <v>55</v>
      </c>
      <c r="F9" s="303">
        <v>48</v>
      </c>
      <c r="G9" s="315" t="s">
        <v>136</v>
      </c>
      <c r="H9" s="169" t="s">
        <v>222</v>
      </c>
    </row>
    <row r="10" spans="1:8" ht="40.9" customHeight="1">
      <c r="A10" s="315">
        <v>6</v>
      </c>
      <c r="B10" s="234" t="s">
        <v>52</v>
      </c>
      <c r="C10" s="316" t="s">
        <v>208</v>
      </c>
      <c r="D10" s="316" t="s">
        <v>220</v>
      </c>
      <c r="E10" s="212" t="s">
        <v>57</v>
      </c>
      <c r="F10" s="303">
        <v>48</v>
      </c>
      <c r="G10" s="315" t="s">
        <v>136</v>
      </c>
      <c r="H10" s="169" t="s">
        <v>223</v>
      </c>
    </row>
    <row r="11" spans="1:8" ht="22.9" customHeight="1">
      <c r="A11" s="315">
        <v>7</v>
      </c>
      <c r="B11" s="234" t="s">
        <v>6</v>
      </c>
      <c r="C11" s="303" t="s">
        <v>208</v>
      </c>
      <c r="D11" s="316" t="s">
        <v>220</v>
      </c>
      <c r="E11" s="212" t="s">
        <v>10</v>
      </c>
      <c r="F11" s="303">
        <v>45</v>
      </c>
      <c r="G11" s="317" t="s">
        <v>136</v>
      </c>
      <c r="H11" s="180" t="s">
        <v>180</v>
      </c>
    </row>
    <row r="12" spans="1:8" ht="22.9" customHeight="1">
      <c r="A12" s="315">
        <v>8</v>
      </c>
      <c r="B12" s="318" t="s">
        <v>85</v>
      </c>
      <c r="C12" s="316" t="s">
        <v>208</v>
      </c>
      <c r="D12" s="316" t="s">
        <v>220</v>
      </c>
      <c r="E12" s="237" t="s">
        <v>87</v>
      </c>
      <c r="F12" s="303">
        <v>45</v>
      </c>
      <c r="G12" s="315" t="s">
        <v>136</v>
      </c>
      <c r="H12" s="180" t="s">
        <v>180</v>
      </c>
    </row>
    <row r="13" spans="1:8" ht="22.9" customHeight="1">
      <c r="A13" s="315">
        <v>9</v>
      </c>
      <c r="B13" s="318" t="s">
        <v>16</v>
      </c>
      <c r="C13" s="303" t="s">
        <v>208</v>
      </c>
      <c r="D13" s="235" t="s">
        <v>220</v>
      </c>
      <c r="E13" s="159" t="s">
        <v>19</v>
      </c>
      <c r="F13" s="303">
        <v>44</v>
      </c>
      <c r="G13" s="317" t="s">
        <v>136</v>
      </c>
      <c r="H13" s="180" t="s">
        <v>181</v>
      </c>
    </row>
    <row r="14" spans="1:8" ht="22.9" customHeight="1">
      <c r="A14" s="315">
        <v>10</v>
      </c>
      <c r="B14" s="318" t="s">
        <v>36</v>
      </c>
      <c r="C14" s="92" t="s">
        <v>210</v>
      </c>
      <c r="D14" s="77" t="s">
        <v>220</v>
      </c>
      <c r="E14" s="278" t="s">
        <v>42</v>
      </c>
      <c r="F14" s="69">
        <v>44</v>
      </c>
      <c r="G14" s="319" t="s">
        <v>136</v>
      </c>
      <c r="H14" s="180" t="s">
        <v>181</v>
      </c>
    </row>
    <row r="15" spans="1:8" ht="22.9" customHeight="1">
      <c r="A15" s="315">
        <v>11</v>
      </c>
      <c r="B15" s="318" t="s">
        <v>36</v>
      </c>
      <c r="C15" s="92" t="s">
        <v>210</v>
      </c>
      <c r="D15" s="92" t="s">
        <v>220</v>
      </c>
      <c r="E15" s="278" t="s">
        <v>43</v>
      </c>
      <c r="F15" s="69">
        <v>44</v>
      </c>
      <c r="G15" s="319" t="s">
        <v>136</v>
      </c>
      <c r="H15" s="180" t="s">
        <v>181</v>
      </c>
    </row>
    <row r="16" spans="1:8" ht="22.9" customHeight="1">
      <c r="A16" s="315">
        <v>12</v>
      </c>
      <c r="B16" s="318" t="s">
        <v>184</v>
      </c>
      <c r="C16" s="235" t="s">
        <v>208</v>
      </c>
      <c r="D16" s="235" t="s">
        <v>220</v>
      </c>
      <c r="E16" s="237" t="s">
        <v>50</v>
      </c>
      <c r="F16" s="303">
        <v>44</v>
      </c>
      <c r="G16" s="315" t="s">
        <v>136</v>
      </c>
      <c r="H16" s="180" t="s">
        <v>181</v>
      </c>
    </row>
    <row r="17" spans="1:8" ht="22.9" customHeight="1">
      <c r="A17" s="315">
        <v>13</v>
      </c>
      <c r="B17" s="318" t="s">
        <v>61</v>
      </c>
      <c r="C17" s="92" t="s">
        <v>210</v>
      </c>
      <c r="D17" s="108" t="s">
        <v>220</v>
      </c>
      <c r="E17" s="278" t="s">
        <v>42</v>
      </c>
      <c r="F17" s="69">
        <v>44</v>
      </c>
      <c r="G17" s="319" t="s">
        <v>136</v>
      </c>
      <c r="H17" s="180" t="s">
        <v>181</v>
      </c>
    </row>
    <row r="18" spans="1:8" ht="22.9" customHeight="1">
      <c r="A18" s="315">
        <v>14</v>
      </c>
      <c r="B18" s="318" t="s">
        <v>61</v>
      </c>
      <c r="C18" s="92" t="s">
        <v>210</v>
      </c>
      <c r="D18" s="108" t="s">
        <v>220</v>
      </c>
      <c r="E18" s="293" t="s">
        <v>43</v>
      </c>
      <c r="F18" s="69">
        <v>44</v>
      </c>
      <c r="G18" s="319" t="s">
        <v>136</v>
      </c>
      <c r="H18" s="180" t="s">
        <v>181</v>
      </c>
    </row>
    <row r="19" spans="1:8" ht="22.9" customHeight="1">
      <c r="A19" s="315">
        <v>15</v>
      </c>
      <c r="B19" s="318" t="s">
        <v>31</v>
      </c>
      <c r="C19" s="316" t="s">
        <v>208</v>
      </c>
      <c r="D19" s="316" t="s">
        <v>220</v>
      </c>
      <c r="E19" s="159" t="s">
        <v>21</v>
      </c>
      <c r="F19" s="303">
        <v>42</v>
      </c>
      <c r="G19" s="315" t="s">
        <v>136</v>
      </c>
      <c r="H19" s="180" t="s">
        <v>180</v>
      </c>
    </row>
    <row r="20" spans="1:8" ht="22.9" customHeight="1">
      <c r="A20" s="315">
        <v>16</v>
      </c>
      <c r="B20" s="234" t="s">
        <v>6</v>
      </c>
      <c r="C20" s="303" t="s">
        <v>208</v>
      </c>
      <c r="D20" s="316" t="s">
        <v>220</v>
      </c>
      <c r="E20" s="159" t="s">
        <v>12</v>
      </c>
      <c r="F20" s="303">
        <v>40</v>
      </c>
      <c r="G20" s="317" t="s">
        <v>136</v>
      </c>
      <c r="H20" s="180" t="s">
        <v>181</v>
      </c>
    </row>
    <row r="21" spans="1:8" ht="22.9" customHeight="1">
      <c r="A21" s="315">
        <v>17</v>
      </c>
      <c r="B21" s="234" t="s">
        <v>6</v>
      </c>
      <c r="C21" s="303" t="s">
        <v>208</v>
      </c>
      <c r="D21" s="235" t="s">
        <v>220</v>
      </c>
      <c r="E21" s="159" t="s">
        <v>14</v>
      </c>
      <c r="F21" s="303">
        <v>40</v>
      </c>
      <c r="G21" s="317" t="s">
        <v>136</v>
      </c>
      <c r="H21" s="180" t="s">
        <v>182</v>
      </c>
    </row>
    <row r="22" spans="1:8" ht="22.9" customHeight="1">
      <c r="A22" s="315">
        <v>18</v>
      </c>
      <c r="B22" s="318" t="s">
        <v>16</v>
      </c>
      <c r="C22" s="303" t="s">
        <v>208</v>
      </c>
      <c r="D22" s="316" t="s">
        <v>220</v>
      </c>
      <c r="E22" s="212" t="s">
        <v>17</v>
      </c>
      <c r="F22" s="303">
        <v>40</v>
      </c>
      <c r="G22" s="317" t="s">
        <v>136</v>
      </c>
      <c r="H22" s="180" t="s">
        <v>182</v>
      </c>
    </row>
    <row r="23" spans="1:8" ht="22.9" customHeight="1">
      <c r="A23" s="315">
        <v>19</v>
      </c>
      <c r="B23" s="318" t="s">
        <v>16</v>
      </c>
      <c r="C23" s="303" t="s">
        <v>208</v>
      </c>
      <c r="D23" s="316" t="s">
        <v>220</v>
      </c>
      <c r="E23" s="159" t="s">
        <v>18</v>
      </c>
      <c r="F23" s="303">
        <v>40</v>
      </c>
      <c r="G23" s="317" t="s">
        <v>136</v>
      </c>
      <c r="H23" s="180" t="s">
        <v>181</v>
      </c>
    </row>
    <row r="24" spans="1:8" ht="22.9" customHeight="1">
      <c r="A24" s="315">
        <v>20</v>
      </c>
      <c r="B24" s="318" t="s">
        <v>36</v>
      </c>
      <c r="C24" s="316" t="s">
        <v>210</v>
      </c>
      <c r="D24" s="316" t="s">
        <v>220</v>
      </c>
      <c r="E24" s="159" t="s">
        <v>38</v>
      </c>
      <c r="F24" s="303">
        <v>40</v>
      </c>
      <c r="G24" s="315" t="s">
        <v>136</v>
      </c>
      <c r="H24" s="180" t="s">
        <v>183</v>
      </c>
    </row>
    <row r="25" spans="1:8" ht="54">
      <c r="A25" s="315">
        <v>21</v>
      </c>
      <c r="B25" s="318" t="s">
        <v>36</v>
      </c>
      <c r="C25" s="235" t="s">
        <v>210</v>
      </c>
      <c r="D25" s="235" t="s">
        <v>220</v>
      </c>
      <c r="E25" s="214" t="s">
        <v>40</v>
      </c>
      <c r="F25" s="303">
        <v>40</v>
      </c>
      <c r="G25" s="315" t="s">
        <v>136</v>
      </c>
      <c r="H25" s="180" t="s">
        <v>180</v>
      </c>
    </row>
    <row r="26" spans="1:8" ht="22.9" customHeight="1">
      <c r="A26" s="315">
        <v>22</v>
      </c>
      <c r="B26" s="318" t="s">
        <v>36</v>
      </c>
      <c r="C26" s="235" t="s">
        <v>210</v>
      </c>
      <c r="D26" s="235" t="s">
        <v>220</v>
      </c>
      <c r="E26" s="159" t="s">
        <v>44</v>
      </c>
      <c r="F26" s="303">
        <v>40</v>
      </c>
      <c r="G26" s="315" t="s">
        <v>136</v>
      </c>
      <c r="H26" s="180" t="s">
        <v>180</v>
      </c>
    </row>
    <row r="27" spans="1:8" ht="22.9" customHeight="1">
      <c r="A27" s="315">
        <v>23</v>
      </c>
      <c r="B27" s="318" t="s">
        <v>184</v>
      </c>
      <c r="C27" s="316" t="s">
        <v>208</v>
      </c>
      <c r="D27" s="316" t="s">
        <v>220</v>
      </c>
      <c r="E27" s="159" t="s">
        <v>51</v>
      </c>
      <c r="F27" s="303">
        <v>40</v>
      </c>
      <c r="G27" s="315" t="s">
        <v>136</v>
      </c>
      <c r="H27" s="180" t="s">
        <v>180</v>
      </c>
    </row>
    <row r="28" spans="1:8" ht="22.9" customHeight="1">
      <c r="A28" s="315">
        <v>24</v>
      </c>
      <c r="B28" s="234" t="s">
        <v>52</v>
      </c>
      <c r="C28" s="316" t="s">
        <v>208</v>
      </c>
      <c r="D28" s="316" t="s">
        <v>220</v>
      </c>
      <c r="E28" s="214" t="s">
        <v>59</v>
      </c>
      <c r="F28" s="303">
        <v>40</v>
      </c>
      <c r="G28" s="315" t="s">
        <v>136</v>
      </c>
      <c r="H28" s="180" t="s">
        <v>180</v>
      </c>
    </row>
    <row r="29" spans="1:8" ht="22.9" customHeight="1">
      <c r="A29" s="315">
        <v>25</v>
      </c>
      <c r="B29" s="318" t="s">
        <v>61</v>
      </c>
      <c r="C29" s="316" t="s">
        <v>210</v>
      </c>
      <c r="D29" s="316" t="s">
        <v>220</v>
      </c>
      <c r="E29" s="159" t="s">
        <v>57</v>
      </c>
      <c r="F29" s="303">
        <v>40</v>
      </c>
      <c r="G29" s="315" t="s">
        <v>136</v>
      </c>
      <c r="H29" s="180" t="s">
        <v>183</v>
      </c>
    </row>
    <row r="30" spans="1:8" ht="36">
      <c r="A30" s="315">
        <v>26</v>
      </c>
      <c r="B30" s="318" t="s">
        <v>61</v>
      </c>
      <c r="C30" s="235" t="s">
        <v>210</v>
      </c>
      <c r="D30" s="316" t="s">
        <v>220</v>
      </c>
      <c r="E30" s="214" t="s">
        <v>64</v>
      </c>
      <c r="F30" s="303">
        <v>40</v>
      </c>
      <c r="G30" s="315" t="s">
        <v>136</v>
      </c>
      <c r="H30" s="180" t="s">
        <v>180</v>
      </c>
    </row>
    <row r="31" spans="1:8" ht="54">
      <c r="A31" s="315">
        <v>27</v>
      </c>
      <c r="B31" s="318" t="s">
        <v>61</v>
      </c>
      <c r="C31" s="235" t="s">
        <v>210</v>
      </c>
      <c r="D31" s="238" t="s">
        <v>220</v>
      </c>
      <c r="E31" s="214" t="s">
        <v>65</v>
      </c>
      <c r="F31" s="303">
        <v>40</v>
      </c>
      <c r="G31" s="315" t="s">
        <v>136</v>
      </c>
      <c r="H31" s="180" t="s">
        <v>180</v>
      </c>
    </row>
    <row r="32" spans="1:8" ht="22.9" customHeight="1">
      <c r="A32" s="315">
        <v>28</v>
      </c>
      <c r="B32" s="318" t="s">
        <v>66</v>
      </c>
      <c r="C32" s="316" t="s">
        <v>208</v>
      </c>
      <c r="D32" s="316" t="s">
        <v>220</v>
      </c>
      <c r="E32" s="159" t="s">
        <v>68</v>
      </c>
      <c r="F32" s="303">
        <v>40</v>
      </c>
      <c r="G32" s="315" t="s">
        <v>136</v>
      </c>
      <c r="H32" s="180" t="s">
        <v>180</v>
      </c>
    </row>
    <row r="33" spans="1:12" ht="22.9" customHeight="1">
      <c r="A33" s="315">
        <v>29</v>
      </c>
      <c r="B33" s="234" t="s">
        <v>71</v>
      </c>
      <c r="C33" s="235" t="s">
        <v>210</v>
      </c>
      <c r="D33" s="316" t="s">
        <v>220</v>
      </c>
      <c r="E33" s="159" t="s">
        <v>78</v>
      </c>
      <c r="F33" s="303">
        <v>40</v>
      </c>
      <c r="G33" s="315" t="s">
        <v>136</v>
      </c>
      <c r="H33" s="180" t="s">
        <v>180</v>
      </c>
    </row>
    <row r="34" spans="1:12" ht="22.9" customHeight="1">
      <c r="A34" s="315">
        <v>30</v>
      </c>
      <c r="B34" s="320" t="s">
        <v>224</v>
      </c>
      <c r="C34" s="316" t="s">
        <v>208</v>
      </c>
      <c r="D34" s="235" t="s">
        <v>220</v>
      </c>
      <c r="E34" s="237" t="s">
        <v>82</v>
      </c>
      <c r="F34" s="303">
        <v>40</v>
      </c>
      <c r="G34" s="315" t="s">
        <v>136</v>
      </c>
      <c r="H34" s="180" t="s">
        <v>181</v>
      </c>
    </row>
    <row r="35" spans="1:12" ht="22.9" customHeight="1">
      <c r="A35" s="315">
        <v>31</v>
      </c>
      <c r="B35" s="234" t="s">
        <v>6</v>
      </c>
      <c r="C35" s="303" t="s">
        <v>208</v>
      </c>
      <c r="D35" s="316" t="s">
        <v>220</v>
      </c>
      <c r="E35" s="212" t="s">
        <v>15</v>
      </c>
      <c r="F35" s="303">
        <v>36</v>
      </c>
      <c r="G35" s="317" t="s">
        <v>136</v>
      </c>
      <c r="H35" s="180" t="s">
        <v>180</v>
      </c>
    </row>
    <row r="36" spans="1:12" ht="22.9" customHeight="1">
      <c r="A36" s="315">
        <v>32</v>
      </c>
      <c r="B36" s="318" t="s">
        <v>20</v>
      </c>
      <c r="C36" s="303" t="s">
        <v>208</v>
      </c>
      <c r="D36" s="235" t="s">
        <v>220</v>
      </c>
      <c r="E36" s="159" t="s">
        <v>23</v>
      </c>
      <c r="F36" s="303">
        <v>36</v>
      </c>
      <c r="G36" s="317" t="s">
        <v>136</v>
      </c>
      <c r="H36" s="180" t="s">
        <v>180</v>
      </c>
    </row>
    <row r="37" spans="1:12" ht="22.9" customHeight="1">
      <c r="A37" s="315">
        <v>33</v>
      </c>
      <c r="B37" s="318" t="s">
        <v>24</v>
      </c>
      <c r="C37" s="303" t="s">
        <v>208</v>
      </c>
      <c r="D37" s="316" t="s">
        <v>220</v>
      </c>
      <c r="E37" s="159" t="s">
        <v>23</v>
      </c>
      <c r="F37" s="303">
        <v>36</v>
      </c>
      <c r="G37" s="317" t="s">
        <v>136</v>
      </c>
      <c r="H37" s="180" t="s">
        <v>180</v>
      </c>
    </row>
    <row r="38" spans="1:12" ht="22.9" customHeight="1">
      <c r="A38" s="315">
        <v>34</v>
      </c>
      <c r="B38" s="318" t="s">
        <v>24</v>
      </c>
      <c r="C38" s="303" t="s">
        <v>208</v>
      </c>
      <c r="D38" s="235" t="s">
        <v>220</v>
      </c>
      <c r="E38" s="159" t="s">
        <v>27</v>
      </c>
      <c r="F38" s="303">
        <v>36</v>
      </c>
      <c r="G38" s="317" t="s">
        <v>136</v>
      </c>
      <c r="H38" s="180" t="s">
        <v>180</v>
      </c>
    </row>
    <row r="39" spans="1:12" ht="22.9" customHeight="1">
      <c r="A39" s="315">
        <v>35</v>
      </c>
      <c r="B39" s="318" t="s">
        <v>24</v>
      </c>
      <c r="C39" s="303" t="s">
        <v>208</v>
      </c>
      <c r="D39" s="235" t="s">
        <v>220</v>
      </c>
      <c r="E39" s="159" t="s">
        <v>29</v>
      </c>
      <c r="F39" s="303">
        <v>36</v>
      </c>
      <c r="G39" s="315" t="s">
        <v>136</v>
      </c>
      <c r="H39" s="180" t="s">
        <v>180</v>
      </c>
    </row>
    <row r="40" spans="1:12" ht="22.9" customHeight="1">
      <c r="A40" s="315">
        <v>36</v>
      </c>
      <c r="B40" s="318" t="s">
        <v>30</v>
      </c>
      <c r="C40" s="316" t="s">
        <v>210</v>
      </c>
      <c r="D40" s="235" t="s">
        <v>220</v>
      </c>
      <c r="E40" s="159" t="s">
        <v>23</v>
      </c>
      <c r="F40" s="303">
        <v>36</v>
      </c>
      <c r="G40" s="315" t="s">
        <v>136</v>
      </c>
      <c r="H40" s="180" t="s">
        <v>180</v>
      </c>
    </row>
    <row r="41" spans="1:12" ht="22.9" customHeight="1">
      <c r="A41" s="315">
        <v>37</v>
      </c>
      <c r="B41" s="318" t="s">
        <v>30</v>
      </c>
      <c r="C41" s="316" t="s">
        <v>210</v>
      </c>
      <c r="D41" s="235" t="s">
        <v>220</v>
      </c>
      <c r="E41" s="159" t="s">
        <v>27</v>
      </c>
      <c r="F41" s="303">
        <v>36</v>
      </c>
      <c r="G41" s="315" t="s">
        <v>136</v>
      </c>
      <c r="H41" s="180" t="s">
        <v>180</v>
      </c>
      <c r="L41" s="321"/>
    </row>
    <row r="42" spans="1:12" ht="22.9" customHeight="1">
      <c r="A42" s="315">
        <v>38</v>
      </c>
      <c r="B42" s="318" t="s">
        <v>30</v>
      </c>
      <c r="C42" s="316" t="s">
        <v>210</v>
      </c>
      <c r="D42" s="235" t="s">
        <v>220</v>
      </c>
      <c r="E42" s="159" t="s">
        <v>29</v>
      </c>
      <c r="F42" s="303">
        <v>36</v>
      </c>
      <c r="G42" s="315" t="s">
        <v>136</v>
      </c>
      <c r="H42" s="180" t="s">
        <v>180</v>
      </c>
      <c r="L42" s="321"/>
    </row>
    <row r="43" spans="1:12" ht="22.9" customHeight="1">
      <c r="A43" s="315">
        <v>39</v>
      </c>
      <c r="B43" s="318" t="s">
        <v>32</v>
      </c>
      <c r="C43" s="316" t="s">
        <v>208</v>
      </c>
      <c r="D43" s="316" t="s">
        <v>220</v>
      </c>
      <c r="E43" s="159" t="s">
        <v>34</v>
      </c>
      <c r="F43" s="303">
        <v>36</v>
      </c>
      <c r="G43" s="315" t="s">
        <v>136</v>
      </c>
      <c r="H43" s="180" t="s">
        <v>180</v>
      </c>
    </row>
    <row r="44" spans="1:12" ht="22.9" customHeight="1">
      <c r="A44" s="315">
        <v>40</v>
      </c>
      <c r="B44" s="318" t="s">
        <v>32</v>
      </c>
      <c r="C44" s="235" t="s">
        <v>208</v>
      </c>
      <c r="D44" s="235" t="s">
        <v>220</v>
      </c>
      <c r="E44" s="159" t="s">
        <v>35</v>
      </c>
      <c r="F44" s="303">
        <v>36</v>
      </c>
      <c r="G44" s="315" t="s">
        <v>136</v>
      </c>
      <c r="H44" s="180" t="s">
        <v>180</v>
      </c>
    </row>
    <row r="45" spans="1:12" ht="22.9" customHeight="1">
      <c r="A45" s="315">
        <v>41</v>
      </c>
      <c r="B45" s="318" t="s">
        <v>184</v>
      </c>
      <c r="C45" s="316" t="s">
        <v>208</v>
      </c>
      <c r="D45" s="316" t="s">
        <v>220</v>
      </c>
      <c r="E45" s="237" t="s">
        <v>48</v>
      </c>
      <c r="F45" s="303">
        <v>36</v>
      </c>
      <c r="G45" s="315" t="s">
        <v>136</v>
      </c>
      <c r="H45" s="180" t="s">
        <v>180</v>
      </c>
    </row>
    <row r="46" spans="1:12" ht="22.9" customHeight="1">
      <c r="A46" s="315">
        <v>42</v>
      </c>
      <c r="B46" s="318" t="s">
        <v>184</v>
      </c>
      <c r="C46" s="316" t="s">
        <v>208</v>
      </c>
      <c r="D46" s="316" t="s">
        <v>220</v>
      </c>
      <c r="E46" s="322" t="s">
        <v>49</v>
      </c>
      <c r="F46" s="303">
        <v>36</v>
      </c>
      <c r="G46" s="315" t="s">
        <v>136</v>
      </c>
      <c r="H46" s="180" t="s">
        <v>180</v>
      </c>
    </row>
    <row r="47" spans="1:12" ht="22.9" customHeight="1">
      <c r="A47" s="315">
        <v>43</v>
      </c>
      <c r="B47" s="318" t="s">
        <v>85</v>
      </c>
      <c r="C47" s="316" t="s">
        <v>208</v>
      </c>
      <c r="D47" s="303" t="s">
        <v>220</v>
      </c>
      <c r="E47" s="237" t="s">
        <v>89</v>
      </c>
      <c r="F47" s="303">
        <v>36</v>
      </c>
      <c r="G47" s="315" t="s">
        <v>136</v>
      </c>
      <c r="H47" s="180" t="s">
        <v>180</v>
      </c>
    </row>
    <row r="48" spans="1:12" ht="36">
      <c r="A48" s="315">
        <v>44</v>
      </c>
      <c r="B48" s="318" t="s">
        <v>85</v>
      </c>
      <c r="C48" s="235" t="s">
        <v>208</v>
      </c>
      <c r="D48" s="303" t="s">
        <v>220</v>
      </c>
      <c r="E48" s="322" t="s">
        <v>91</v>
      </c>
      <c r="F48" s="303">
        <v>36</v>
      </c>
      <c r="G48" s="315" t="s">
        <v>136</v>
      </c>
      <c r="H48" s="180" t="s">
        <v>180</v>
      </c>
    </row>
    <row r="49" spans="1:8" ht="22.9" customHeight="1">
      <c r="A49" s="315">
        <v>45</v>
      </c>
      <c r="B49" s="318" t="s">
        <v>85</v>
      </c>
      <c r="C49" s="316" t="s">
        <v>208</v>
      </c>
      <c r="D49" s="303" t="s">
        <v>220</v>
      </c>
      <c r="E49" s="237" t="s">
        <v>92</v>
      </c>
      <c r="F49" s="303">
        <v>36</v>
      </c>
      <c r="G49" s="315" t="s">
        <v>136</v>
      </c>
      <c r="H49" s="180" t="s">
        <v>180</v>
      </c>
    </row>
    <row r="50" spans="1:8" ht="22.9" customHeight="1">
      <c r="A50" s="315">
        <v>46</v>
      </c>
      <c r="B50" s="318" t="s">
        <v>85</v>
      </c>
      <c r="C50" s="303" t="s">
        <v>208</v>
      </c>
      <c r="D50" s="303" t="s">
        <v>220</v>
      </c>
      <c r="E50" s="237" t="s">
        <v>93</v>
      </c>
      <c r="F50" s="303">
        <v>36</v>
      </c>
      <c r="G50" s="315" t="s">
        <v>136</v>
      </c>
      <c r="H50" s="180" t="s">
        <v>183</v>
      </c>
    </row>
    <row r="51" spans="1:8" ht="22.9" customHeight="1">
      <c r="A51" s="315">
        <v>47</v>
      </c>
      <c r="B51" s="318" t="s">
        <v>20</v>
      </c>
      <c r="C51" s="303" t="s">
        <v>208</v>
      </c>
      <c r="D51" s="316" t="s">
        <v>220</v>
      </c>
      <c r="E51" s="212" t="s">
        <v>21</v>
      </c>
      <c r="F51" s="303">
        <v>35</v>
      </c>
      <c r="G51" s="317" t="s">
        <v>136</v>
      </c>
      <c r="H51" s="180" t="s">
        <v>180</v>
      </c>
    </row>
    <row r="52" spans="1:8" ht="22.9" customHeight="1">
      <c r="A52" s="315">
        <v>48</v>
      </c>
      <c r="B52" s="318" t="s">
        <v>24</v>
      </c>
      <c r="C52" s="303" t="s">
        <v>208</v>
      </c>
      <c r="D52" s="316" t="s">
        <v>220</v>
      </c>
      <c r="E52" s="159" t="s">
        <v>25</v>
      </c>
      <c r="F52" s="303">
        <v>35</v>
      </c>
      <c r="G52" s="317" t="s">
        <v>136</v>
      </c>
      <c r="H52" s="180" t="s">
        <v>180</v>
      </c>
    </row>
    <row r="53" spans="1:8" ht="22.9" customHeight="1">
      <c r="A53" s="315">
        <v>49</v>
      </c>
      <c r="B53" s="318" t="s">
        <v>30</v>
      </c>
      <c r="C53" s="316" t="s">
        <v>210</v>
      </c>
      <c r="D53" s="316" t="s">
        <v>220</v>
      </c>
      <c r="E53" s="159" t="s">
        <v>25</v>
      </c>
      <c r="F53" s="303">
        <v>35</v>
      </c>
      <c r="G53" s="315" t="s">
        <v>136</v>
      </c>
      <c r="H53" s="180" t="s">
        <v>180</v>
      </c>
    </row>
    <row r="54" spans="1:8" ht="22.9" customHeight="1">
      <c r="A54" s="315">
        <v>50</v>
      </c>
      <c r="B54" s="318" t="s">
        <v>66</v>
      </c>
      <c r="C54" s="235" t="s">
        <v>208</v>
      </c>
      <c r="D54" s="316" t="s">
        <v>220</v>
      </c>
      <c r="E54" s="159" t="s">
        <v>69</v>
      </c>
      <c r="F54" s="303">
        <v>32</v>
      </c>
      <c r="G54" s="315" t="s">
        <v>136</v>
      </c>
      <c r="H54" s="180" t="s">
        <v>180</v>
      </c>
    </row>
    <row r="55" spans="1:8" ht="36">
      <c r="A55" s="315">
        <v>51</v>
      </c>
      <c r="B55" s="318" t="s">
        <v>66</v>
      </c>
      <c r="C55" s="316" t="s">
        <v>208</v>
      </c>
      <c r="D55" s="316" t="s">
        <v>220</v>
      </c>
      <c r="E55" s="214" t="s">
        <v>70</v>
      </c>
      <c r="F55" s="303">
        <v>32</v>
      </c>
      <c r="G55" s="315" t="s">
        <v>136</v>
      </c>
      <c r="H55" s="180" t="s">
        <v>180</v>
      </c>
    </row>
    <row r="56" spans="1:8" ht="36">
      <c r="A56" s="315">
        <v>52</v>
      </c>
      <c r="B56" s="234" t="s">
        <v>71</v>
      </c>
      <c r="C56" s="316" t="s">
        <v>210</v>
      </c>
      <c r="D56" s="303" t="s">
        <v>220</v>
      </c>
      <c r="E56" s="159" t="s">
        <v>57</v>
      </c>
      <c r="F56" s="303">
        <v>32</v>
      </c>
      <c r="G56" s="315" t="s">
        <v>136</v>
      </c>
      <c r="H56" s="169" t="s">
        <v>187</v>
      </c>
    </row>
    <row r="57" spans="1:8" ht="22.9" customHeight="1">
      <c r="A57" s="315">
        <v>53</v>
      </c>
      <c r="B57" s="234" t="s">
        <v>71</v>
      </c>
      <c r="C57" s="235" t="s">
        <v>210</v>
      </c>
      <c r="D57" s="238" t="s">
        <v>220</v>
      </c>
      <c r="E57" s="159" t="s">
        <v>73</v>
      </c>
      <c r="F57" s="303">
        <v>32</v>
      </c>
      <c r="G57" s="315" t="s">
        <v>136</v>
      </c>
      <c r="H57" s="180" t="s">
        <v>181</v>
      </c>
    </row>
    <row r="58" spans="1:8" ht="22.9" customHeight="1">
      <c r="A58" s="315">
        <v>54</v>
      </c>
      <c r="B58" s="234" t="s">
        <v>71</v>
      </c>
      <c r="C58" s="235" t="s">
        <v>210</v>
      </c>
      <c r="D58" s="238" t="s">
        <v>220</v>
      </c>
      <c r="E58" s="159" t="s">
        <v>77</v>
      </c>
      <c r="F58" s="303">
        <v>32</v>
      </c>
      <c r="G58" s="315" t="s">
        <v>136</v>
      </c>
      <c r="H58" s="180" t="s">
        <v>180</v>
      </c>
    </row>
    <row r="59" spans="1:8" ht="22.9" customHeight="1">
      <c r="A59" s="315">
        <v>55</v>
      </c>
      <c r="B59" s="320" t="s">
        <v>224</v>
      </c>
      <c r="C59" s="235" t="s">
        <v>208</v>
      </c>
      <c r="D59" s="316" t="s">
        <v>220</v>
      </c>
      <c r="E59" s="237" t="s">
        <v>57</v>
      </c>
      <c r="F59" s="303">
        <v>32</v>
      </c>
      <c r="G59" s="315" t="s">
        <v>136</v>
      </c>
      <c r="H59" s="180" t="s">
        <v>183</v>
      </c>
    </row>
    <row r="61" spans="1:8">
      <c r="A61" s="323"/>
    </row>
    <row r="62" spans="1:8">
      <c r="A62" s="323" t="s">
        <v>225</v>
      </c>
    </row>
    <row r="63" spans="1:8" ht="20.25">
      <c r="A63" s="44" t="s">
        <v>233</v>
      </c>
      <c r="B63" s="2"/>
      <c r="C63" s="2"/>
      <c r="D63" s="2"/>
    </row>
  </sheetData>
  <mergeCells count="2">
    <mergeCell ref="A2:H2"/>
    <mergeCell ref="A3:H3"/>
  </mergeCells>
  <pageMargins left="0.70866141732283472" right="0.70866141732283472" top="0.74803149606299213" bottom="0.74803149606299213" header="0.31496062992125984" footer="0.31496062992125984"/>
  <pageSetup paperSize="9" scale="6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6</vt:i4>
      </vt:variant>
      <vt:variant>
        <vt:lpstr>ช่วงที่มีชื่อ</vt:lpstr>
      </vt:variant>
      <vt:variant>
        <vt:i4>10</vt:i4>
      </vt:variant>
    </vt:vector>
  </HeadingPairs>
  <TitlesOfParts>
    <vt:vector size="16" baseType="lpstr">
      <vt:lpstr>ตารางวิเคราะห์กระบวนการ</vt:lpstr>
      <vt:lpstr>Input</vt:lpstr>
      <vt:lpstr>Output</vt:lpstr>
      <vt:lpstr>จัดลำดับ (Input)</vt:lpstr>
      <vt:lpstr>จัดลำดับ(Output)</vt:lpstr>
      <vt:lpstr>จัดลำดับ(Output) (29 สค68)</vt:lpstr>
      <vt:lpstr>Input!Print_Area</vt:lpstr>
      <vt:lpstr>Output!Print_Area</vt:lpstr>
      <vt:lpstr>'จัดลำดับ (Input)'!Print_Area</vt:lpstr>
      <vt:lpstr>ตารางวิเคราะห์กระบวนการ!Print_Area</vt:lpstr>
      <vt:lpstr>Input!Print_Titles</vt:lpstr>
      <vt:lpstr>Output!Print_Titles</vt:lpstr>
      <vt:lpstr>'จัดลำดับ (Input)'!Print_Titles</vt:lpstr>
      <vt:lpstr>'จัดลำดับ(Output)'!Print_Titles</vt:lpstr>
      <vt:lpstr>'จัดลำดับ(Output) (29 สค68)'!Print_Titles</vt:lpstr>
      <vt:lpstr>ตารางวิเคราะห์กระบวนการ!Print_Titles</vt:lpstr>
    </vt:vector>
  </TitlesOfParts>
  <Manager/>
  <Company>MORAKOT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MIS</dc:creator>
  <cp:keywords/>
  <dc:description/>
  <cp:lastModifiedBy>Prinya Pianussa</cp:lastModifiedBy>
  <cp:revision/>
  <dcterms:created xsi:type="dcterms:W3CDTF">2007-10-26T10:10:43Z</dcterms:created>
  <dcterms:modified xsi:type="dcterms:W3CDTF">2026-08-18T09:14:13Z</dcterms:modified>
  <cp:category/>
  <cp:contentStatus/>
</cp:coreProperties>
</file>