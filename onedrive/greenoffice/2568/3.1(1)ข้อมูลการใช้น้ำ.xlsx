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847" documentId="8_{70AE3F8F-858D-4603-8846-403254365CE8}" xr6:coauthVersionLast="47" xr6:coauthVersionMax="47" xr10:uidLastSave="{27837641-2358-48FC-B984-DD8F34A88DB8}"/>
  <bookViews>
    <workbookView xWindow="-120" yWindow="-120" windowWidth="24240" windowHeight="13020" firstSheet="3" activeTab="3" xr2:uid="{C6222337-9035-4D5B-AAA3-79AA28C8E985}"/>
  </bookViews>
  <sheets>
    <sheet name="ฟอร์มใหม่" sheetId="13" r:id="rId1"/>
    <sheet name="2567" sheetId="7" r:id="rId2"/>
    <sheet name="2568" sheetId="11" r:id="rId3"/>
    <sheet name="2569" sheetId="17" r:id="rId4"/>
    <sheet name="น้ำทิ้งเครื่องปรับอากาศ" sheetId="9" r:id="rId5"/>
  </sheets>
  <externalReferences>
    <externalReference r:id="rId6"/>
  </externalReferences>
  <definedNames>
    <definedName name="_xlnm.Print_Area" localSheetId="3">'2569'!$A$1:$Q$97</definedName>
    <definedName name="_xlnm.Print_Area" localSheetId="0">ฟอร์มใหม่!$A$1:$L$97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7" l="1"/>
  <c r="G16" i="17"/>
  <c r="P16" i="17"/>
  <c r="P15" i="17"/>
  <c r="G15" i="17" s="1"/>
  <c r="P14" i="17"/>
  <c r="G14" i="17" s="1"/>
  <c r="P13" i="17"/>
  <c r="G13" i="17" s="1"/>
  <c r="P12" i="17"/>
  <c r="P11" i="17"/>
  <c r="G11" i="17" s="1"/>
  <c r="P10" i="17"/>
  <c r="G10" i="17" s="1"/>
  <c r="P9" i="17"/>
  <c r="G9" i="17" s="1"/>
  <c r="P8" i="17"/>
  <c r="G8" i="17" s="1"/>
  <c r="P7" i="17"/>
  <c r="G7" i="17" s="1"/>
  <c r="P6" i="17"/>
  <c r="G6" i="17" s="1"/>
  <c r="P5" i="17"/>
  <c r="G5" i="17" s="1"/>
  <c r="C6" i="17" l="1"/>
  <c r="D6" i="17" s="1"/>
  <c r="C7" i="17"/>
  <c r="C8" i="17"/>
  <c r="D8" i="17" s="1"/>
  <c r="C9" i="17"/>
  <c r="J9" i="17" s="1"/>
  <c r="C10" i="17"/>
  <c r="D10" i="17" s="1"/>
  <c r="C11" i="17"/>
  <c r="D11" i="17" s="1"/>
  <c r="C12" i="17"/>
  <c r="D12" i="17" s="1"/>
  <c r="C13" i="17"/>
  <c r="J13" i="17" s="1"/>
  <c r="C14" i="17"/>
  <c r="D14" i="17" s="1"/>
  <c r="C15" i="17"/>
  <c r="D15" i="17" s="1"/>
  <c r="C16" i="17"/>
  <c r="D16" i="17" s="1"/>
  <c r="C5" i="17"/>
  <c r="J5" i="17" s="1"/>
  <c r="H18" i="17"/>
  <c r="G18" i="17"/>
  <c r="F18" i="17"/>
  <c r="B18" i="17"/>
  <c r="H17" i="17"/>
  <c r="G17" i="17"/>
  <c r="F17" i="17"/>
  <c r="B17" i="17"/>
  <c r="J16" i="17"/>
  <c r="I16" i="17"/>
  <c r="E16" i="17"/>
  <c r="J15" i="17"/>
  <c r="I15" i="17"/>
  <c r="E15" i="17"/>
  <c r="J14" i="17"/>
  <c r="I14" i="17"/>
  <c r="K14" i="17" s="1"/>
  <c r="E14" i="17"/>
  <c r="I13" i="17"/>
  <c r="E13" i="17"/>
  <c r="J12" i="17"/>
  <c r="I12" i="17"/>
  <c r="E12" i="17"/>
  <c r="J11" i="17"/>
  <c r="I11" i="17"/>
  <c r="E11" i="17"/>
  <c r="J10" i="17"/>
  <c r="I10" i="17"/>
  <c r="K10" i="17" s="1"/>
  <c r="E10" i="17"/>
  <c r="I9" i="17"/>
  <c r="J8" i="17"/>
  <c r="I8" i="17"/>
  <c r="E8" i="17"/>
  <c r="J7" i="17"/>
  <c r="I7" i="17"/>
  <c r="E7" i="17"/>
  <c r="J6" i="17"/>
  <c r="I6" i="17"/>
  <c r="E6" i="17"/>
  <c r="I5" i="17"/>
  <c r="E5" i="13"/>
  <c r="I5" i="13"/>
  <c r="J5" i="13"/>
  <c r="K5" i="13"/>
  <c r="E6" i="13"/>
  <c r="I6" i="13"/>
  <c r="J6" i="13"/>
  <c r="K6" i="13"/>
  <c r="E7" i="13"/>
  <c r="I7" i="13"/>
  <c r="J7" i="13"/>
  <c r="K7" i="13"/>
  <c r="E8" i="13"/>
  <c r="K8" i="13" s="1"/>
  <c r="I8" i="13"/>
  <c r="J8" i="13"/>
  <c r="E9" i="13"/>
  <c r="I9" i="13"/>
  <c r="J9" i="13"/>
  <c r="K9" i="13"/>
  <c r="E10" i="13"/>
  <c r="I10" i="13"/>
  <c r="J10" i="13"/>
  <c r="K10" i="13"/>
  <c r="E11" i="13"/>
  <c r="I11" i="13"/>
  <c r="J11" i="13"/>
  <c r="K11" i="13"/>
  <c r="E12" i="13"/>
  <c r="I12" i="13"/>
  <c r="J12" i="13"/>
  <c r="K12" i="13"/>
  <c r="E13" i="13"/>
  <c r="I13" i="13"/>
  <c r="J13" i="13"/>
  <c r="K13" i="13"/>
  <c r="E14" i="13"/>
  <c r="I14" i="13"/>
  <c r="J14" i="13"/>
  <c r="K14" i="13"/>
  <c r="E15" i="13"/>
  <c r="I15" i="13"/>
  <c r="J15" i="13"/>
  <c r="K15" i="13"/>
  <c r="E16" i="13"/>
  <c r="I16" i="13"/>
  <c r="J16" i="13"/>
  <c r="K16" i="13"/>
  <c r="B17" i="13"/>
  <c r="C17" i="13"/>
  <c r="D17" i="13"/>
  <c r="E17" i="13"/>
  <c r="F17" i="13"/>
  <c r="G17" i="13"/>
  <c r="H17" i="13"/>
  <c r="I17" i="13"/>
  <c r="B18" i="13"/>
  <c r="C18" i="13"/>
  <c r="D18" i="13"/>
  <c r="E18" i="13"/>
  <c r="K18" i="13" s="1"/>
  <c r="F18" i="13"/>
  <c r="G18" i="13"/>
  <c r="J18" i="13" s="1"/>
  <c r="H18" i="13"/>
  <c r="I18" i="13"/>
  <c r="E6" i="11"/>
  <c r="E7" i="11"/>
  <c r="E8" i="11"/>
  <c r="E9" i="11"/>
  <c r="E10" i="11"/>
  <c r="E11" i="11"/>
  <c r="E12" i="11"/>
  <c r="E13" i="11"/>
  <c r="E14" i="11"/>
  <c r="E15" i="11"/>
  <c r="E16" i="11"/>
  <c r="E5" i="11"/>
  <c r="E18" i="11" s="1"/>
  <c r="F18" i="11"/>
  <c r="F17" i="11"/>
  <c r="C18" i="11"/>
  <c r="D18" i="11"/>
  <c r="B18" i="11"/>
  <c r="C17" i="11"/>
  <c r="D17" i="11"/>
  <c r="B17" i="11"/>
  <c r="B17" i="7"/>
  <c r="P16" i="11"/>
  <c r="G16" i="11" s="1"/>
  <c r="P15" i="11"/>
  <c r="G15" i="11" s="1"/>
  <c r="P14" i="11"/>
  <c r="G14" i="11" s="1"/>
  <c r="P13" i="11"/>
  <c r="G13" i="11" s="1"/>
  <c r="P12" i="11"/>
  <c r="G12" i="11" s="1"/>
  <c r="P11" i="11"/>
  <c r="G11" i="11" s="1"/>
  <c r="P10" i="11"/>
  <c r="G10" i="11" s="1"/>
  <c r="P9" i="11"/>
  <c r="G9" i="11" s="1"/>
  <c r="P8" i="11"/>
  <c r="G8" i="11" s="1"/>
  <c r="P7" i="11"/>
  <c r="G7" i="11" s="1"/>
  <c r="P6" i="11"/>
  <c r="G6" i="11" s="1"/>
  <c r="P5" i="11"/>
  <c r="G5" i="11" s="1"/>
  <c r="P11" i="7"/>
  <c r="G11" i="7" s="1"/>
  <c r="P12" i="7"/>
  <c r="P13" i="7"/>
  <c r="P14" i="7"/>
  <c r="P15" i="7"/>
  <c r="P16" i="7"/>
  <c r="H10" i="7"/>
  <c r="H6" i="7"/>
  <c r="H7" i="7"/>
  <c r="H8" i="7"/>
  <c r="H9" i="7"/>
  <c r="G6" i="7"/>
  <c r="G7" i="7"/>
  <c r="G8" i="7"/>
  <c r="G9" i="7"/>
  <c r="G10" i="7"/>
  <c r="G12" i="7"/>
  <c r="H12" i="7" s="1"/>
  <c r="G13" i="7"/>
  <c r="H13" i="7" s="1"/>
  <c r="G14" i="7"/>
  <c r="H14" i="7" s="1"/>
  <c r="G15" i="7"/>
  <c r="H15" i="7" s="1"/>
  <c r="G16" i="7"/>
  <c r="H16" i="7" s="1"/>
  <c r="P6" i="7"/>
  <c r="P7" i="7"/>
  <c r="P8" i="7"/>
  <c r="P9" i="7"/>
  <c r="P10" i="7"/>
  <c r="P5" i="7"/>
  <c r="G5" i="7" s="1"/>
  <c r="H5" i="7" s="1"/>
  <c r="F18" i="7"/>
  <c r="D18" i="7"/>
  <c r="C18" i="7"/>
  <c r="B18" i="7"/>
  <c r="F17" i="7"/>
  <c r="D17" i="7"/>
  <c r="C17" i="7"/>
  <c r="J16" i="7"/>
  <c r="I16" i="7"/>
  <c r="K16" i="7" s="1"/>
  <c r="E16" i="7"/>
  <c r="J15" i="7"/>
  <c r="I15" i="7"/>
  <c r="K15" i="7" s="1"/>
  <c r="E15" i="7"/>
  <c r="J14" i="7"/>
  <c r="I14" i="7"/>
  <c r="K14" i="7" s="1"/>
  <c r="E14" i="7"/>
  <c r="J13" i="7"/>
  <c r="I13" i="7"/>
  <c r="K13" i="7" s="1"/>
  <c r="E13" i="7"/>
  <c r="J12" i="7"/>
  <c r="I12" i="7"/>
  <c r="K12" i="7" s="1"/>
  <c r="E12" i="7"/>
  <c r="E11" i="7"/>
  <c r="J10" i="7"/>
  <c r="I10" i="7"/>
  <c r="K10" i="7"/>
  <c r="E10" i="7"/>
  <c r="J9" i="7"/>
  <c r="I9" i="7"/>
  <c r="K9" i="7"/>
  <c r="E9" i="7"/>
  <c r="J8" i="7"/>
  <c r="I8" i="7"/>
  <c r="K8" i="7"/>
  <c r="E8" i="7"/>
  <c r="J7" i="7"/>
  <c r="I7" i="7"/>
  <c r="K7" i="7"/>
  <c r="E7" i="7"/>
  <c r="J6" i="7"/>
  <c r="I6" i="7"/>
  <c r="K6" i="7"/>
  <c r="E6" i="7"/>
  <c r="J5" i="7"/>
  <c r="I5" i="7"/>
  <c r="K5" i="7"/>
  <c r="E5" i="7"/>
  <c r="E17" i="7"/>
  <c r="E18" i="7"/>
  <c r="D9" i="17" l="1"/>
  <c r="E5" i="17"/>
  <c r="K5" i="17" s="1"/>
  <c r="K6" i="17"/>
  <c r="E9" i="17"/>
  <c r="I17" i="17"/>
  <c r="D13" i="17"/>
  <c r="C18" i="17"/>
  <c r="D7" i="17"/>
  <c r="D5" i="17"/>
  <c r="K9" i="17"/>
  <c r="K13" i="17"/>
  <c r="C17" i="17"/>
  <c r="J17" i="17" s="1"/>
  <c r="J18" i="17"/>
  <c r="E17" i="17"/>
  <c r="K17" i="17" s="1"/>
  <c r="K8" i="17"/>
  <c r="K12" i="17"/>
  <c r="K16" i="17"/>
  <c r="K7" i="17"/>
  <c r="K11" i="17"/>
  <c r="K15" i="17"/>
  <c r="J17" i="13"/>
  <c r="K17" i="13"/>
  <c r="I18" i="17"/>
  <c r="E17" i="11"/>
  <c r="G18" i="11"/>
  <c r="J18" i="11" s="1"/>
  <c r="G17" i="11"/>
  <c r="J5" i="11"/>
  <c r="I5" i="11"/>
  <c r="H5" i="11"/>
  <c r="J6" i="11"/>
  <c r="I6" i="11"/>
  <c r="K6" i="11" s="1"/>
  <c r="H6" i="11"/>
  <c r="J7" i="11"/>
  <c r="I7" i="11"/>
  <c r="K7" i="11" s="1"/>
  <c r="H7" i="11"/>
  <c r="J8" i="11"/>
  <c r="I8" i="11"/>
  <c r="K8" i="11" s="1"/>
  <c r="H8" i="11"/>
  <c r="J9" i="11"/>
  <c r="I9" i="11"/>
  <c r="K9" i="11" s="1"/>
  <c r="H9" i="11"/>
  <c r="J10" i="11"/>
  <c r="I10" i="11"/>
  <c r="K10" i="11" s="1"/>
  <c r="H10" i="11"/>
  <c r="J11" i="11"/>
  <c r="I11" i="11"/>
  <c r="K11" i="11" s="1"/>
  <c r="H11" i="11"/>
  <c r="J12" i="11"/>
  <c r="I12" i="11"/>
  <c r="K12" i="11" s="1"/>
  <c r="H12" i="11"/>
  <c r="J13" i="11"/>
  <c r="I13" i="11"/>
  <c r="K13" i="11" s="1"/>
  <c r="H13" i="11"/>
  <c r="J14" i="11"/>
  <c r="I14" i="11"/>
  <c r="K14" i="11" s="1"/>
  <c r="H14" i="11"/>
  <c r="J15" i="11"/>
  <c r="I15" i="11"/>
  <c r="K15" i="11" s="1"/>
  <c r="H15" i="11"/>
  <c r="J16" i="11"/>
  <c r="I16" i="11"/>
  <c r="K16" i="11" s="1"/>
  <c r="H16" i="11"/>
  <c r="H11" i="7"/>
  <c r="H17" i="7" s="1"/>
  <c r="I11" i="7"/>
  <c r="J11" i="7"/>
  <c r="G18" i="7"/>
  <c r="J18" i="7" s="1"/>
  <c r="G17" i="7"/>
  <c r="D18" i="17" l="1"/>
  <c r="D17" i="17"/>
  <c r="E18" i="17"/>
  <c r="K18" i="17"/>
  <c r="H18" i="11"/>
  <c r="H17" i="11"/>
  <c r="I18" i="11"/>
  <c r="K18" i="11" s="1"/>
  <c r="K5" i="11"/>
  <c r="J17" i="11"/>
  <c r="I17" i="11"/>
  <c r="K17" i="11" s="1"/>
  <c r="H18" i="7"/>
  <c r="K11" i="7"/>
  <c r="I18" i="7"/>
  <c r="K18" i="7" s="1"/>
  <c r="I17" i="7"/>
  <c r="K17" i="7" s="1"/>
  <c r="J17" i="7"/>
</calcChain>
</file>

<file path=xl/sharedStrings.xml><?xml version="1.0" encoding="utf-8"?>
<sst xmlns="http://schemas.openxmlformats.org/spreadsheetml/2006/main" count="851" uniqueCount="335">
  <si>
    <t>แบบฟอร์ม 3.1(1)</t>
  </si>
  <si>
    <t xml:space="preserve">บันทึกปริมาณการใช้น้ำ </t>
  </si>
  <si>
    <t>เดือน</t>
  </si>
  <si>
    <t>ปริมาณการใช้น้ำปี 25…......</t>
  </si>
  <si>
    <t>ปริมาณการใช้น้ำปี 2569</t>
  </si>
  <si>
    <t>ร้อยละปริมาณการใช้น้ำ</t>
  </si>
  <si>
    <t>จำนวนคน</t>
  </si>
  <si>
    <t xml:space="preserve"> (ลบ.ม.)ปี.....</t>
  </si>
  <si>
    <t>ค่าน้ำ/เดือน (บาท)</t>
  </si>
  <si>
    <t>(ลบ.ม./คน) ปี…........</t>
  </si>
  <si>
    <t>(ลบ.ม) ปี 2569</t>
  </si>
  <si>
    <t>(ลบ.ม./คน) ปี 2569</t>
  </si>
  <si>
    <t>(ลบ.ม.)ปี.............</t>
  </si>
  <si>
    <t>(ลบ.ม./คน)ปี.............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</si>
  <si>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</si>
  <si>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</si>
  <si>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</si>
  <si>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</si>
  <si>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</si>
  <si>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</si>
  <si>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</si>
  <si>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</si>
  <si>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</si>
  <si>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</si>
  <si>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</si>
  <si>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</si>
  <si>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เฉลี่ย</t>
  </si>
  <si>
    <t>รวม</t>
  </si>
  <si>
    <t>สรุปปริมาณการใช้น้ำ
1. การปริมาณน้ำสะสมตั้งแต่เดือน มกราคม ถึง ….............ปี 2569 เท่ากับ …......... ลบ.ม. ลดลงจาก ปี 25….ในช่วงเวลาเดียวกัน เท่ากับ …............. ลบ.ม.  คิดเป็น …...... %
2. การปริมาณน้ำต่อคนสะสมตั้งแต่เดือน มกราคม ถึง ….............ปี 2569 เท่ากับ …......... ลบ.ม./คน ลดลงจาก ปี 25….ในช่วงเวลาเดียวกัน เท่ากับ …......... ลบ.ม./คน  คิดเป็น …...... %
3. การปริมาณน้ำเฉลี่ยตั้งแต่เดือน มกราคม ถึง ….............ปี 2569 เท่ากับ …......... ลบ.ม. ลดลงจาก ปี 25….ในช่วงเวลาเดียวกัน เท่ากับ …............. ลบ.ม.  คิดเป็น …...... %
4. การปริมาณน้ำต่อคนเฉลี่ยตั้งแต่เดือน มกราคม ถึง ….............ปี 2569 เท่ากับ …......... ลบ.ม./คน ลดลงจาก ปี 25….ในช่วงเวลาเดียวกัน เท่ากับ ….......... ลบ.ม./คน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</si>
  <si>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</si>
  <si>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</si>
  <si>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2569 : การใช้น้ำลดลง …...........% จากปี 25…....)</t>
  </si>
  <si>
    <t xml:space="preserve">เดือนมกราคม 2569           </t>
  </si>
  <si>
    <t>รายละเอียด :</t>
  </si>
  <si>
    <t>วิเคราะห์สาเหตุ :</t>
  </si>
  <si>
    <t>แนวทางจัดการ :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</si>
  <si>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</si>
  <si>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</si>
  <si>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</si>
  <si>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</si>
  <si>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</si>
  <si>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</si>
  <si>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</si>
  <si>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</si>
  <si>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</si>
  <si>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</si>
  <si>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</si>
  <si>
    <t>แบบฟอร์ม 3.2(1)</t>
  </si>
  <si>
    <t>บันทึกปริมาณการใช้น้ำ</t>
  </si>
  <si>
    <t>ปริมาณการใช้น้ำปี 2566</t>
  </si>
  <si>
    <t>ปริมาณการใช้น้ำปี 2567</t>
  </si>
  <si>
    <t>ป้อนข้อมูลตรงนี้</t>
  </si>
  <si>
    <t xml:space="preserve"> (หน่วย) ปี2566</t>
  </si>
  <si>
    <t>(หน่วย/คน) ปี2566</t>
  </si>
  <si>
    <t>(หน่วย) ปี 2567</t>
  </si>
  <si>
    <t>(หน่วย/คน)ปี 2567</t>
  </si>
  <si>
    <t>(หน่วย)ปี2567</t>
  </si>
  <si>
    <t>(หน่วย/คน)ปี2567</t>
  </si>
  <si>
    <t>ข้อมูล1(หลัง)</t>
  </si>
  <si>
    <t>ข้อมูล2(ก่อน)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</si>
  <si>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</si>
  <si>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</si>
  <si>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</si>
  <si>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</si>
  <si>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</si>
  <si>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</si>
  <si>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</si>
  <si>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</si>
  <si>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</si>
  <si>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</si>
  <si>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</si>
  <si>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</si>
  <si>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r>
      <rPr>
        <b/>
        <sz val="16"/>
        <color rgb="FF000000"/>
        <rFont val="Cordia New"/>
      </rPr>
      <t xml:space="preserve">สรุปปริมาณการใช้น้ำ
</t>
    </r>
    <r>
      <rPr>
        <sz val="16"/>
        <color rgb="FF000000"/>
        <rFont val="Cordia New"/>
      </rPr>
      <t>1. ปริมาณน้ำสะสมตั้งแต่เดือน มกราคม ถึง ธันวาคม ปี 2567 เท่ากับ 5,666.40 หน่วย ลดลงจาก ปี 2566 ในช่วงเวลาเดียวกัน เท่ากับ 5,523.00 หน่วย คิดเป็น  2.6 %
2. ปริมาณน้ำต่อคนสะสมตั้งแต่เดือน มกราคม ถึง ธันวาคม ปี 2567 เท่ากับ 59.65 หน่วย ลดลงจาก ปี 2566 ในช่วงเวลาเดียวกัน เท่ากับ 58.76 หน่วย คิดเป็น  1.5 %
3. ปริมาณน้ำเฉลี่ยตั้งแต่เดือน มกราคม ถึง ธันวาคม ปี 2567 เท่ากับ  472.20  หน่วย ลดลงจาก ปี 2566 ในช่วงเวลาเดียวกัน เท่ากับ  60.25 หน่วย คิดเป็น  2.6 %
4. ปริมาณน้ำต่อคนเฉลี่ยตั้งแต่เดือน มกราคม ถึง ธันวาคม ปี 2567 เท่ากับ  4.97  หน่วย ลดลงจาก ปี 2566 ในช่วงเวลาเดียวกัน เท่ากับ  4.90 หน่วย คิดเป็น  1.5 %</t>
    </r>
  </si>
  <si>
    <t>การวิเคราะห์ข้อมูลและสาเหตุ (เป้าหมาย : การใช้น้ำลดลง 5% จากปี 2566)</t>
  </si>
  <si>
    <t>เดือนมกราคม 2567</t>
  </si>
  <si>
    <t xml:space="preserve">ผลการใช้น้ำ ประจำเดือน มกราคม 2567 พบว่า มีการใช้น้ำ 291.00 หน่วย คิดเป็นเงิน 2,328.00 บาท มีปริมาณการใช้น้ำ 3.06 หน่วย/คน เมื่อเทียบกับปี 2566 ลดลง -31.0% </t>
  </si>
  <si>
    <t xml:space="preserve">วิเคราะห์สาเหตุ : </t>
  </si>
  <si>
    <t>เนื่องจากบุคคลากรให้ความร่วมมือในการปิดน้ำทุกครั้งเมื่อใช้เสร็จ และช่วยกันสังเกตหากมีจุดที่น้ำรั่วไหลจะทำการแจ้งผู้ดูแลอาคารทันที</t>
  </si>
  <si>
    <t>ทำมาตรการจุดรับแจ้งน้ำรั่ว  ตรวจมิเตอร์รายสัปดาห์ และรณรงค์การใช้น้ำอย่างประหยัด</t>
  </si>
  <si>
    <t xml:space="preserve">เดือนกุมภาพันธ์ 2567      </t>
  </si>
  <si>
    <t xml:space="preserve">ผลการใช้น้ำ ประจำเดือน กุมภาพันธ์ 2567 พบว่า มีการใช้น้ำ 467.30 หน่วย คิดเป็นเงิน 3,738.40 บาท มีปริมาณการใช้น้ำ 4.92 หน่วย/คน เมื่อเทียบกับปี 2566 เพิ่มขึ้น 18.0% </t>
  </si>
  <si>
    <t>เนื่องจากมีก๊อกน้ำบริเวณห้องแลปชั้น2 แตก</t>
  </si>
  <si>
    <t>กำหนดมาตรการการประหยัดน้ำเพิ่มมากขึ้น และให้บุคคลากรหมั่นตรวจเช็คก๊อกน้ำ และวาล์วน้ำ</t>
  </si>
  <si>
    <t xml:space="preserve">เดือนมีนาคม 2567        </t>
  </si>
  <si>
    <t xml:space="preserve">รายละเอียด : </t>
  </si>
  <si>
    <t xml:space="preserve">ผลการใช้น้ำ ประจำเดือน มีนาคม 2567 พบว่า มีการใช้น้ำ 507.60 หน่วย คิดเป็นเงิน 4,060.80 บาท มีปริมาณการใช้น้ำ 5.34 หน่วย/คน เมื่อเทียบกับปี 2566 ลดลง 34.6% </t>
  </si>
  <si>
    <t>ทำมาตรการจุดรับแจ้งน้ำรั่ว ตรวจมิเตอร์รายสัปดาห์ และรณรงค์ให้บุคลากรใช้น้ำอย่างประหยัด</t>
  </si>
  <si>
    <t xml:space="preserve">เดือนเมษายน 2567        </t>
  </si>
  <si>
    <t xml:space="preserve">ผลการใช้น้ำ ประจำเดือน เมษายน 2567 พบว่า มีการใช้น้ำ 452.30 หน่วย คิดเป็นเงิน 3,618.40 บาท มีปริมาณการใช้น้ำ 4.6 หน่วย/คน เมื่อเทียบกับปี 2566 ลดลง 17.5% </t>
  </si>
  <si>
    <t>เนื่องจากบุคคลากรให้ความร่วมมือในการปิดน้ำทุกครั้งเมื่อใช้เสร็จ และช่วยกันสังเกตหากมีจุดที่น้ำรั่วไหลจะทำการแจ้งผู้ดูแลอาคารทันที และตรงกลับวันหยุดยาว</t>
  </si>
  <si>
    <t>ก่อนวันหยุดยาวให้ทำประกาศแจ้งให้บุคลากรทำการปิดวาล์วโซนที่ไม่จำเป็น/ตรวจรั่วก่อนปิดอาคาร เพื่อไม่ให้เกิดการรั่วไหลช่วงไม่มีคน</t>
  </si>
  <si>
    <t xml:space="preserve">เดือนพฤษภาคม 2567        </t>
  </si>
  <si>
    <t xml:space="preserve">ผลการใช้น้ำ ประจำเดือน พฤษภาคม 2567 พบว่า มีการใช้น้ำ 408.70 หน่วย คิดเป็นเงิน 3,269.60 บาท มีปริมาณการใช้น้ำ 4.30 หน่วย/คน เมื่อเทียบกับปี 2566 ลดลง 0.6% </t>
  </si>
  <si>
    <t xml:space="preserve">เดือนมิถุนายน 2567        </t>
  </si>
  <si>
    <t xml:space="preserve">ผลการใช้น้ำ ประจำเดือน มิถุนายน 2567 พบว่า มีการใช้น้ำ 369.00 หน่วย คิดเป็นเงิน 2,952.00 บาท มีปริมาณการใช้น้ำ 3.88 หน่วย/คน เมื่อเทียบกับปี 2566 เพิ่มขึ้น 10.5% </t>
  </si>
  <si>
    <t>เนื่องจากมีก๊อกน้ำบริเวณห้องน้ำชั้น 2 รั่วหลายจุด และมีผู้มาใช้บริการห้องประชุมจำนวนมาก</t>
  </si>
  <si>
    <t>ให้บุคลากรหมั่นตรวจเช็คก๊อกน้ำ และวาล์วน้ำ เมื่อมีการรั่วไหลให้รีบแจ้งช่างประจำอาคารฯ และรณรงค์ให้บุคลากรใช้น้ำอย่างประหยัด</t>
  </si>
  <si>
    <t>เดือนกรกฎาคม 2567</t>
  </si>
  <si>
    <t xml:space="preserve">ผลการใช้น้ำ ประจำเดือน กรกาคม 2567 พบว่า มีการใช้น้ำ 42.10 หน่วย คิดเป็นเงิน 3,696.80 บาท มีปริมาณการใช้น้ำ 4.86 หน่วย/คน เมื่อเทียบกับปี 2566 ลดลง 11.0% </t>
  </si>
  <si>
    <t xml:space="preserve">หลังเดือนมิถุนายนที่มีการรั่วของก๊อกน้ำหลายจุด แต่ตัวเลขกลับมาลดลงอาจสะท้อนว่ามีการซ่อมบำรุง และควบคุมได้ดีขึ้น </t>
  </si>
  <si>
    <t xml:space="preserve">เดือนสิงหาคม 2567      </t>
  </si>
  <si>
    <t xml:space="preserve">ผลการใช้น้ำ ประจำเดือน สิงหาคม 2567 พบว่า มีการใช้น้ำ 348.60 หน่วย คิดเป็นเงิน 2,788.80 บาท มีปริมาณการใช้น้ำ 3.67 หน่วย/คน เมื่อเทียบกับปี 2566 ลดลง 31.0% </t>
  </si>
  <si>
    <t>มีการใช้อาคารในการจัดประชุมลดลง ประกอบกับมีมาตรการเข้มขึ้น</t>
  </si>
  <si>
    <t xml:space="preserve">เดือนกันยายน 2567        </t>
  </si>
  <si>
    <t xml:space="preserve">ผลการใช้น้ำ ประจำเดือน กันยายน 2567 พบว่า มีการใช้น้ำ 355.50 หน่วย คิดเป็นเงิน 2,844.00 บาท มีปริมาณการใช้น้ำ 3.74 หน่วย/คน เมื่อเทียบกับปี 2566 ลดลง 6.2% </t>
  </si>
  <si>
    <t>มีมาตรการการใช้น้ำที่เข้มขึ้น</t>
  </si>
  <si>
    <t xml:space="preserve">เดือนตุลาคม 2567        </t>
  </si>
  <si>
    <t xml:space="preserve">ผลการใช้น้ำ ประจำเดือน ตุลาคม 2567 พบว่า มีการใช้น้ำ 463.60 หน่วย คิดเป็นเงิน 3,708.80 บาท มีปริมาณการใช้น้ำ 4.88 หน่วย/คน เมื่อเทียบกับปี 2566 เพิ่มขึ้น 12.5% </t>
  </si>
  <si>
    <t>มีการใช้อาคารในการจัดประชุมเพิ่มขึ้นจากหน่วยงานภายนอกและหน่วยงานภายใน  อีกทั้งมีการรั่วบางจุด</t>
  </si>
  <si>
    <t>รณรงค์ให้บุคลากรใช้น้ำอย่างประหยัด และตรวจเช็คสุขภัณฑ์แต่ละชั้น</t>
  </si>
  <si>
    <t xml:space="preserve">เดือนพฤศจิกายน 2567        </t>
  </si>
  <si>
    <t xml:space="preserve">ผลการใช้น้ำ ประจำเดือน พฤศจิกายน 2567 พบว่า มีการใช้น้ำ 508.10 หน่วย คิดเป็นเงิน 4,064.80 บาท มีปริมาณการใช้น้ำ 5.35 หน่วย/คน เมื่อเทียบกับปี 2566 เพิ่มขึ้น  7.6% </t>
  </si>
  <si>
    <t xml:space="preserve">มีการใช้อาคารในการจัดประชุมเพิ่มขึ้นจากหน่วยงานภายนอกและหน่วยงานภายใน </t>
  </si>
  <si>
    <t xml:space="preserve">รณรงค์ให้บุคลากรใช้น้ำอย่างประหยัด </t>
  </si>
  <si>
    <t xml:space="preserve">เดือนธันวาคม 2567        </t>
  </si>
  <si>
    <t xml:space="preserve">ผลการใช้น้ำ ประจำเดือน ธันวาคม 2567 พบว่า มีการใช้น้ำ 1,032.60 หน่วย คิดเป็นเงิน 8,260.80 บาท มีปริมาณการใช้น้ำ 10.87 หน่วย/คน เมื่อเทียบกับปี 2566 เพิ่มขึ้น 195.9% </t>
  </si>
  <si>
    <t>มีการใช้ห้องประชุมจากหน่วยงานภายนอกและหน่วยงานภายในจำนวนมาก และเกิดท่อแตกบริเวณข้างตึก</t>
  </si>
  <si>
    <t>รณรงค์ให้บุคลากรใช้น้ำอย่างประหยัด และตรวจเช็คสุขภัณฑ์และการเสื่อมของท่อบริเวณอาคาร</t>
  </si>
  <si>
    <t>ปริมาณการใช้น้ำปี 2568</t>
  </si>
  <si>
    <t xml:space="preserve"> (ลบ.ม.) ปี2567</t>
  </si>
  <si>
    <t>(ลบ.ม./คน) ปี2567</t>
  </si>
  <si>
    <t>(ลบ.ม.) ปี 2568</t>
  </si>
  <si>
    <t>(ลบ.ม./คน)ปี 2568</t>
  </si>
  <si>
    <t>(ลบ.ม.)ปี2568</t>
  </si>
  <si>
    <t>(ลบ.ม./คน)ปี2568</t>
  </si>
  <si>
    <r>
      <rPr>
        <b/>
        <sz val="16"/>
        <color rgb="FF000000"/>
        <rFont val="Cordia New"/>
      </rPr>
      <t xml:space="preserve">สรุปปริมาณการใช้น้ำ
</t>
    </r>
    <r>
      <rPr>
        <sz val="16"/>
        <color rgb="FF000000"/>
        <rFont val="Cordia New"/>
      </rPr>
      <t>1. ปริมาณน้ำสะสมตั้งแต่เดือน มกราคม ถึง ธันวาคมปี 2568 เท่ากับ 8,337.50 หน่วย เพิ่มขึ้น จาก ปี 2567 ในช่วงเวลาเดียวกัน เท่ากับ 5,666.40 หน่วย คิดเป็น  47.1 %
2. ปริมาณน้ำต่อคนสะสมตั้งแต่เดือน มกราคม ถึงธันวาคม ปี 2568 เท่ากับ 87.76 หน่วย  เพิ่มขึ้น จาก ปี 2567 ในช่วงเวลาเดียวกัน เท่ากับ 59.65 หน่วย คิดเป็น  47.1 %
3. ปริมาณน้ำเฉลี่ยตั้งแต่เดือน มกราคม ถึง ธันวาคม ปี 2568 เท่ากับ  59.65  หน่วย  เพิ่มขึ้น จาก ปี 2567 ในช่วงเวลาเดียวกัน เท่ากับ  87.76 หน่วย คิดเป็น  47.1 %
4. ปริมาณน้ำต่อคนเฉลี่ยตั้งแต่เดือน มกราคม ถึง ธันวาคม ปี 2568 เท่ากับ  7.31  หน่วย  เพิ่มขึ้น จาก ปี 2567 ในช่วงเวลาเดียวกัน เท่ากับ  4.97 หน่วย คิดเป็น  47.1 %</t>
    </r>
  </si>
  <si>
    <t>การวิเคราะห์ข้อมูลและสาเหตุ (เป้าหมาย : การใช้น้ำลดลง 1% จากปี 2568)</t>
  </si>
  <si>
    <t>เดือนมกราคม 2568</t>
  </si>
  <si>
    <t xml:space="preserve">ผลการใช้น้ำ ประจำเดือน มกราคม 2568 พบว่า มีการใช้น้ำ 939.00 หน่วย คิดเป็นเงิน 7,512.00 บาท มีปริมาณการใช้น้ำ 9.88 หน่วย/คน เมื่อเทียบกับปี 2567 เพิ่มขึ้น 222.% </t>
  </si>
  <si>
    <t>เนื่องจากมีบุคลากรและนักศึกษามาใช้ห้องบริการห้องประชุมจำนวนมาก และมีน้ำรั่วซึมบริเวณห้องปฏิบัติการชั้น2 แตก  พร้อมทั้งมีการปลูกต้นไม้รอบอาคาร</t>
  </si>
  <si>
    <t>ทำมาตรการจุดรับแจ้งน้ำรั่ว ตรวจมิเตอร์รายสัปดาห์ และรณรงค์การใช้น้ำอย่างประหยัด</t>
  </si>
  <si>
    <t>เดือนกุมภาพันธ์ 2568</t>
  </si>
  <si>
    <t>ผลการใช้น้ำ ประจำเดือน กุมภาพันธ์ 2568 พบว่า มีการใช้น้ำ 447.50 หน่วย คิดเป็นเงิน 3,580.00 บาท มีปริมาณการใช้น้ำ 4.71 หน่วย/คน เมื่อเทียบกับปี 2567 ลดลง -4.2%</t>
  </si>
  <si>
    <t>น้ำที่รั่วซึมบริเวณห้องปฏิบัติการชั้น 2 ซ่อมแซมเรียบร้อยแล้วบุคคลากรมีพฤติกรรมการใช้น้ำประหยัดน้ำ และมีมาตรฐานการให้ตัวแทนแต่ละชั้นตรวจเช็คก๊อกน้ำก่อนกลับบ้าน</t>
  </si>
  <si>
    <t>เดือนมีนาคม 2568</t>
  </si>
  <si>
    <t>ผลการใช้น้ำ ประจำเดือน มีนาคม 2568 พบว่า มีการใช้น้ำ 555.00 หน่วย คิดเป็นเงิน 4,440.00 บาท มีปริมาณการใช้น้ำ 5.84 หน่วย/คน เมื่อเทียบกับปี 2567 เพิ่มขึ้น  9.3%</t>
  </si>
  <si>
    <t>เนื่องจากมีบุคลากรและนักศึกษามาใช้ห้องบริการห้องประชุม อีกทั้งมีการใช้น้ำนอกอาคารต่อเนื่อง เช่น รดน้ำต้นไม้ หรือมีรั่วเล็ก ๆ ที่ไม่สามารถตรวจพบได้ตาเปล่า</t>
  </si>
  <si>
    <t>ตรวจสุขภัณฑ์ที่เสื่อมสภาพ ทำมาตรการจุดรับแจ้งน้ำรั่ว  และรณรงค์การใช้น้ำอย่างประหยัด</t>
  </si>
  <si>
    <t>เดือนเมษายน 2568</t>
  </si>
  <si>
    <t xml:space="preserve">ผลการใช้น้ำ ประจำเดือน เมษายน 2568 พบว่า มีการใช้น้ำ 594.60 หน่วย คิดเป็นเงิน 4,756.80 บาท มีปริมาณการใช้น้ำ 6.26 หน่วย/คน เมื่อเทียบกับปี 2567 เพิ่มขึ้น 31.5% </t>
  </si>
  <si>
    <t>การใช้น้ำเพิ่มขึ้นต่อเนื่องจำนวนผู้ใช้อาคารมากขึ้น รวมถึงพฤติกรรมการใช้น้ำที่ไม่ประหยัดของบุคคลกรในอาคาร หรือมาตรการควบคุมยังไม่เข้มพอ รวมถึงมีการรั่วไหลของระบบท่อประปาบริเวณนอกอาคารโดยที่ผู้ใช้อาคารอาจไม่สังเกตเห็น</t>
  </si>
  <si>
    <t>เพิ่มความถี่การตรวจรั่วรายสัปดาห์  และมาตรการพฤติกรรม พร้อมทั้งป้ายเตือน ผู้รับผิดชอบปิดวาล์วแต่ละโซน</t>
  </si>
  <si>
    <t>เดือนพฤษภาคม 2568</t>
  </si>
  <si>
    <t xml:space="preserve">ผลการใช้น้ำ ประจำเดือน พฤษภาคม 2568 พบว่า มีการใช้น้ำ 697.30 หน่วย คิดเป็นเงิน 5,578.40 บาท มีปริมาณการใช้น้ำ 7.34 หน่วย/คน เมื่อเทียบกับปี 2567 เพิ่มขึ้น 70.6% </t>
  </si>
  <si>
    <t>การใช้น้ำเพิ่มขึ้นต่อเนื่องจำนวนผู้ใช้อาคารมากขึ้นกิจกรรมมากขึ้นจากกิจกรรมอบรมสัมมนา พฤติกรรมการใช้น้ำที่ไม่ประหยัดของบุคคลกรและเกิดการรั่วของระบบปะปา ชักโครกไหลตลอด รวมถึงการรั้วของท่อปะปาใต้อาคารที่ตรวจพบภายหลัง</t>
  </si>
  <si>
    <t>ตรวจสุขภัณฑ์ทุกห้องน้ำแบบเช็คลิสต์  ทำการทดสอบปิดวาล์วเป็นโซนนอกเวลางานเพื่อหาวงจรรั่ว รวมถึงทำมาตรการจุดรับแจ้งน้ำรั่ว  และรณรงค์การใช้น้ำอย่างประหยัด</t>
  </si>
  <si>
    <t>เดือนมิถุนายน 2568</t>
  </si>
  <si>
    <t xml:space="preserve">ผลการใช้น้ำ ประจำเดือน มิถุนายน 2568 พบว่า มีการใช้น้ำ 662.70 หน่วย คิดเป็นเงิน 5,301.60 บาท มีปริมาณการใช้น้ำ 6.98 หน่วย/คน เมื่อเทียบกับปี 2567 เพิ่มขึ้น 79.6% </t>
  </si>
  <si>
    <t>การใช้น้ำเพิ่มขึ้นต่อเนื่องจำนวนผู้ใช้อาคารมากขึ้นกิจกรรมมากขึ้นจากกิจกรรมอบรมสัมมนา พฤติกรรมการใช้น้ำที่ไม่ประหยัดของบุคคลกร และประสิทธิภาพของระบบประปาที่ลดลงเนื่องจากอุปกรณ์บางชิ้นเสื่อมสภาพ</t>
  </si>
  <si>
    <t>ทำมาตรการจุดรับแจ้งน้ำรั่ว ตรวจมิเตอร์รายสัปดาห์ และรณรงค์การใช้น้ำอย่างประหยัด รวมถึงการรตรวจสอบระบบน้ำเพิ่มทำการบำรุงแก้ไข</t>
  </si>
  <si>
    <t>เดือนกรกฎาคม 2568</t>
  </si>
  <si>
    <t xml:space="preserve">ผลการใช้น้ำ ประจำเดือน กรกฎาคม 2568 พบว่า มีการใช้น้ำ 642.70 หน่วย คิดเป็นเงิน 5,141.60 บาท มีปริมาณการใช้น้ำ 6.77 หน่วย/คน เมื่อเทียบกับปี 2567 เพิ่มขึ้น 39.1% </t>
  </si>
  <si>
    <t xml:space="preserve">การใช้อาคารมากขึ้นรวมถึงกิจกรรมการใช้ห้องประชุมจากหน่วยงานภายในและภายนอกมากขึ้น และพฤติกรรมของบุคคลภายนอกที่มาใช้อาคารโดยอาจใช้น้ำมากเกินความจำเป็น </t>
  </si>
  <si>
    <t>เดือนสิงหาคม 2568</t>
  </si>
  <si>
    <t xml:space="preserve">ผลการใช้น้ำ ประจำเดือน สิงหาคม 2568 พบว่า มีการใช้น้ำ 696.50 หน่วย คิดเป็นเงิน 5,572.00 บาท มีปริมาณการใช้น้ำ 7.33 หน่วย/คน เมื่อเทียบกับปี 2567 เพิ่มขึ้น 99.8% </t>
  </si>
  <si>
    <t>เกิดจากการใช้ห้องประชุมจากหน่วยงานภายในจำนวนมากประกอบการภายในและภายนอกอาคารมีการจัดกิจกรรมจึงการใช้น้ำในการล้างทำความสะอาดบริเวณหน้าคารในการจัดเตรียมสถานที่ และรดน้ำต้นไม้หน้าอาคาร</t>
  </si>
  <si>
    <t>เดือนกันยายน 2568</t>
  </si>
  <si>
    <t xml:space="preserve">ผลการใช้น้ำ ประจำเดือน กันยายน 2568 พบว่า มีการใช้น้ำ 734.10 หน่วย คิดเป็นเงิน 5,872.80 บาท มีปริมาณการใช้น้ำ 7.73 หน่วย/คน เมื่อเทียบกับปี 2567 เพิ่มขึ้น 106.5% </t>
  </si>
  <si>
    <t>การใช้อาคารมากขึ้นรวมถึงกิจกรรมการใช้ห้องประชุมจากหน่วยงานภายในและภายนอกมากขึ้น และมีการเปิดห้องใช้ทำแลปนักศึกษาเพิ่มขึ้นจึงมีการใช้น้ำในการล้างอุปกรณ์เครื่องแก้วในการทำการทดลองมากขึ้นและพฤติกรรมเปิดน้ำทิ้งไว้ขณะล้างอุปกรณ์ทำให้ใช้น้ำมากเกินความจำเป็น</t>
  </si>
  <si>
    <t>เดือนตุลาคม 2568</t>
  </si>
  <si>
    <t xml:space="preserve">ผลการใช้น้ำ ประจำเดือน ตุลาคม 2568 พบว่า มีการใช้น้ำ 599.40 หน่วย คิดเป็นเงิน 4,795.20 บาท มีปริมาณการใช้น้ำ 6.31 หน่วย/คน เมื่อเทียบกับปี 2567 เพิ่มขึ้น 29.3% </t>
  </si>
  <si>
    <t>การใช้อาคารมากขึ้นรวมถึงกิจกรรมการใช้ห้องประชุม เกิดการรั่วบางจุดที่ไม่ยังไม่ตรวจพบ และพฤติกรรมของนักศึกษาเปิดน้ำทิ้งไว้ขณะล้างอุปกรณ์ทำให้ใช้น้ำมากเกินความจำเป็น</t>
  </si>
  <si>
    <t xml:space="preserve">ทำมาตรการจุดรับแจ้งน้ำรั่ว ตรวจมิเตอร์รายสัปดาห์ และรณรงค์การใช้น้ำอย่างประหยัด และตรวจสุขภัณฑ์ทุกห้องน้ำแบบเช็คลิสต์  </t>
  </si>
  <si>
    <t>เดือนพฤศจิกายน 2568</t>
  </si>
  <si>
    <t xml:space="preserve">ผลการใช้น้ำ ประจำเดือน พฤศจิกายน 2568 พบว่า มีการใช้น้ำ 840.60 หน่วย คิดเป็นเงิน 6,724.80 บาท มีปริมาณการใช้น้ำ 8.85 หน่วย/คน เมื่อเทียบกับปี 2567 เพิ่มขึ้น 65.4% </t>
  </si>
  <si>
    <t xml:space="preserve">เกิดจากการใช้ห้องประชุมจากหน่วยงานภายในจำนวนมาก ประกอบการภายในอาคารมีการจัดกิจกรรม IQS OPEN HOUSE  </t>
  </si>
  <si>
    <t>เดือนธันวาคม 2568</t>
  </si>
  <si>
    <t xml:space="preserve">ผลการใช้น้ำ ประจำเดือน ธันวาคม 2568 พบว่า มีการใช้น้ำ 928.10 หน่วย คิดเป็นเงิน 7,424.80 บาท มีปริมาณการใช้น้ำ 9.77 หน่วย/คน เมื่อเทียบกับปี 2567 ลดลง 10.1% </t>
  </si>
  <si>
    <t>อาจเริ่มมีมาตรการการใช้น้ำที่เข้มขึ้นทำให้พฤติกรรมของบุคลากรปฏิบัติตามมาตรการมากขึ้น และการช่วยกันตรวจเช็คแจ้งจุดหากมีการรั่วซึม</t>
  </si>
  <si>
    <t>ทำมาตรการจุดรับแจ้งน้ำรั่ว ตรวจมิเตอร์รายสัปดาห์ และรณรงค์การใช้น้ำอย่างประหยัด และทำการตรวจระบบครั้งใหญ่ก่อนช่วงวันหยุด</t>
  </si>
  <si>
    <t xml:space="preserve"> (ลบ.ม.)ปี2568</t>
  </si>
  <si>
    <t>(ลบ.ม./คน) ปี2568</t>
  </si>
  <si>
    <t>(ลบ.ม.)ปี2569</t>
  </si>
  <si>
    <t>(ลบ.ม./คน)ปี2569</t>
  </si>
  <si>
    <t>หน่วย</t>
  </si>
  <si>
    <t>ตารางบันทึกปริมาณน้ำเครื่องปรับอากาศ เดือน มกราคม 2567</t>
  </si>
  <si>
    <t>ที่</t>
  </si>
  <si>
    <t>วัน/เดือน/ปี</t>
  </si>
  <si>
    <t>เวลา</t>
  </si>
  <si>
    <t xml:space="preserve">ปริมาณน้ำที่วัดได้ </t>
  </si>
  <si>
    <t>ผู้บันทึก</t>
  </si>
  <si>
    <t>หมายเหตุ</t>
  </si>
  <si>
    <t>(มิลลิลิตร)</t>
  </si>
  <si>
    <t>2 มกราคม 67</t>
  </si>
  <si>
    <t>16.00 น.</t>
  </si>
  <si>
    <t>3 มกราคม 67</t>
  </si>
  <si>
    <t>4 มกราคม 67</t>
  </si>
  <si>
    <t>5 มกราคม 67</t>
  </si>
  <si>
    <t>8 มกราคม 67</t>
  </si>
  <si>
    <t>9 มกราคม 67</t>
  </si>
  <si>
    <t>10 มกราคม 67</t>
  </si>
  <si>
    <t>11 มกราคม 67</t>
  </si>
  <si>
    <t>12 มกราคม 67</t>
  </si>
  <si>
    <t>15 มกราคม 67</t>
  </si>
  <si>
    <t>16 มกราคม 67</t>
  </si>
  <si>
    <t>17 มกราคม 67</t>
  </si>
  <si>
    <t>18 มกราคม 67</t>
  </si>
  <si>
    <t>19 มกราคม 67</t>
  </si>
  <si>
    <t>22 มกราคม 67</t>
  </si>
  <si>
    <t>23 มกราคม 67</t>
  </si>
  <si>
    <t>24 มกราคม 67</t>
  </si>
  <si>
    <t>25 มกราคม 67</t>
  </si>
  <si>
    <t>26 มกราคม 67</t>
  </si>
  <si>
    <t>29 มกราคม 67</t>
  </si>
  <si>
    <t>30 มกราคม 67</t>
  </si>
  <si>
    <t>31 มกราคม 67</t>
  </si>
  <si>
    <t>.................................................</t>
  </si>
  <si>
    <t>(....................................)</t>
  </si>
  <si>
    <t>ผู้ตรวจสอบ</t>
  </si>
  <si>
    <t>ตารางบันทึกปริมาณน้ำเครื่องปรับอากาศ เดือน กุมภาพันธ์  2567</t>
  </si>
  <si>
    <t>1 กุมภาพันธ์ 67</t>
  </si>
  <si>
    <t>2 กุมภาพันธ์ 67</t>
  </si>
  <si>
    <t>5 กุมภาพันธ์ 67</t>
  </si>
  <si>
    <t>6 กุมภาพันธ์ 67</t>
  </si>
  <si>
    <t>7 กุมภาพันธ์ 67</t>
  </si>
  <si>
    <t>8 กุมภาพันธ์ 67</t>
  </si>
  <si>
    <t>9 กุมภาพันธ์ 67</t>
  </si>
  <si>
    <t>12 กุมภาพันธ์ 67</t>
  </si>
  <si>
    <t>13 กุมภาพันธ์ 67</t>
  </si>
  <si>
    <t>14 กุมภาพันธ์ 67</t>
  </si>
  <si>
    <t>15 กุมภาพันธ์ 67</t>
  </si>
  <si>
    <t>16 กุมภาพันธ์ 67</t>
  </si>
  <si>
    <t>19 กุมภาพันธ์ 67</t>
  </si>
  <si>
    <t>20 กุมภาพันธ์ 67</t>
  </si>
  <si>
    <t>21 กุมภาพันธ์ 67</t>
  </si>
  <si>
    <t>22 กุมภาพันธ์ 67</t>
  </si>
  <si>
    <t>23 กุมภาพันธ์ 67</t>
  </si>
  <si>
    <t>27 กุมภาพันธ์ 67</t>
  </si>
  <si>
    <t>28 กุมภาพันธ์ 67</t>
  </si>
  <si>
    <t>29 กุมภาพันธ์ 67</t>
  </si>
  <si>
    <t>ตารางบันทึกปริมาณน้ำเครื่องปรับอากาศ เดือน มีนาคม  2567</t>
  </si>
  <si>
    <t>1 มีนาคม 67</t>
  </si>
  <si>
    <t>4 มีนาคม 67</t>
  </si>
  <si>
    <t>5 มีนาคม 67</t>
  </si>
  <si>
    <t>6 มีนาคม 67</t>
  </si>
  <si>
    <t>7 มีนาคม 67</t>
  </si>
  <si>
    <t>8 มีนาคม 67</t>
  </si>
  <si>
    <t>11 มีนาคม 67</t>
  </si>
  <si>
    <t>12 มีนาคม 67</t>
  </si>
  <si>
    <t>13 มีนาคม 67</t>
  </si>
  <si>
    <t>14 มีนาคม 67</t>
  </si>
  <si>
    <t>15 มีนาคม 67</t>
  </si>
  <si>
    <t>18 มีนาคม 67</t>
  </si>
  <si>
    <t>19 มีนาคม 67</t>
  </si>
  <si>
    <t>20 มีนาคม 67</t>
  </si>
  <si>
    <t>21 มีนาคม 67</t>
  </si>
  <si>
    <t>22 มีนาคม 67</t>
  </si>
  <si>
    <t>25 มีนาคม 67</t>
  </si>
  <si>
    <t>26 มีนาคม 67</t>
  </si>
  <si>
    <t>27 มีนาคม 67</t>
  </si>
  <si>
    <t>28 มีนาคม 67</t>
  </si>
  <si>
    <t>29 มีนาคม 67</t>
  </si>
  <si>
    <t>ตารางบันทึกปริมาณน้ำเครื่องปรับอากาศ เดือน เมษายน  2567</t>
  </si>
  <si>
    <t>1 เมษายน 67</t>
  </si>
  <si>
    <t>2 เมษายน 67</t>
  </si>
  <si>
    <t>3 เมษายน 67</t>
  </si>
  <si>
    <t>4 เมษายน 67</t>
  </si>
  <si>
    <t>5 เมษายน 67</t>
  </si>
  <si>
    <t>9 เมษายน 67</t>
  </si>
  <si>
    <t>10 เมษายน 67</t>
  </si>
  <si>
    <t>11 เมษายน 67</t>
  </si>
  <si>
    <t>17 เมษายน 67</t>
  </si>
  <si>
    <t>18 เมษายน 67</t>
  </si>
  <si>
    <t>19 เมษายน 67</t>
  </si>
  <si>
    <t>22 เมษายน 67</t>
  </si>
  <si>
    <t>23 เมษายน 67</t>
  </si>
  <si>
    <t>24 เมษายน 67</t>
  </si>
  <si>
    <t>25 เมษายน 67</t>
  </si>
  <si>
    <t>26 เมษายน 67</t>
  </si>
  <si>
    <t>29 เมษายน 67</t>
  </si>
  <si>
    <t>30 เมษายน 67</t>
  </si>
  <si>
    <t>ตารางบันทึกปริมาณน้ำเครื่องปรับอากาศ เดือน พฤษภาคม 2567</t>
  </si>
  <si>
    <t>1 พฤษภาคม 67</t>
  </si>
  <si>
    <t>2 พฤษภาคม 67</t>
  </si>
  <si>
    <t>3 พฤษภาคม 67</t>
  </si>
  <si>
    <t>7 พฤษภาคม 67</t>
  </si>
  <si>
    <t>8 พฤษภาคม 67</t>
  </si>
  <si>
    <t>9 พฤษภาคม 67</t>
  </si>
  <si>
    <t>10 พฤษภาคม 67</t>
  </si>
  <si>
    <t>13 พฤษภาคม 67</t>
  </si>
  <si>
    <t>14 พฤษภาคม 67</t>
  </si>
  <si>
    <t>15 พฤษภาคม 67</t>
  </si>
  <si>
    <t>16 พฤษภาคม 67</t>
  </si>
  <si>
    <t>17 พฤษภาคม 67</t>
  </si>
  <si>
    <t>20 พฤษภาคม 67</t>
  </si>
  <si>
    <t>21 พฤษภาคม 67</t>
  </si>
  <si>
    <t>23 พฤษภาคม 67</t>
  </si>
  <si>
    <t>24 พฤษภาคม 67</t>
  </si>
  <si>
    <t>27 พฤษภาคม 67</t>
  </si>
  <si>
    <t>28 พฤษภาคม 67</t>
  </si>
  <si>
    <t>29 พฤษภาคม 67</t>
  </si>
  <si>
    <t>30 พฤษภาคม 67</t>
  </si>
  <si>
    <t>31 พฤษภาคม 67</t>
  </si>
  <si>
    <t>ตารางบันทึกปริมาณน้ำเครื่องปรับอากาศ เดือน มิถุนายน 2567</t>
  </si>
  <si>
    <t>4 มิถุนายน 67</t>
  </si>
  <si>
    <t>5 มิถุนายน 67</t>
  </si>
  <si>
    <t>6 มิถุนายน 67</t>
  </si>
  <si>
    <t>7 มิถุนายน 67</t>
  </si>
  <si>
    <t>10 มิถุนายน 67</t>
  </si>
  <si>
    <t>11 มิถุนายน 67</t>
  </si>
  <si>
    <t>12 มิถุนายน 67</t>
  </si>
  <si>
    <t>13 มิถุนายน 67</t>
  </si>
  <si>
    <t>14 มิถุนายน 67</t>
  </si>
  <si>
    <t>17 มิถุนายน 67</t>
  </si>
  <si>
    <t>18 มิถุนายน 67</t>
  </si>
  <si>
    <t>19 มิถุนายน 67</t>
  </si>
  <si>
    <t>20 มิถุนายน 67</t>
  </si>
  <si>
    <t>21 มิถุนายน 67</t>
  </si>
  <si>
    <t>24 มิถุนายน 67</t>
  </si>
  <si>
    <t>25 มิถุนายน 67</t>
  </si>
  <si>
    <t>26 มิถุนายน 67</t>
  </si>
  <si>
    <t>27 มิถุนายน 67</t>
  </si>
  <si>
    <t>28 มิถุนายน 67</t>
  </si>
  <si>
    <t>ตารางบันทึกปริมาณน้ำเครื่องปรับอากาศ เดือน กรกฏาคม 2567</t>
  </si>
  <si>
    <t>1 กรกฏาคม  67</t>
  </si>
  <si>
    <t>2 กรกฏาคม  67</t>
  </si>
  <si>
    <t>3 กรกฏาคม  67</t>
  </si>
  <si>
    <t>4 กรกฏาคม  67</t>
  </si>
  <si>
    <t>5 กรกฏาคม  67</t>
  </si>
  <si>
    <t>8 กรกฏาคม  67</t>
  </si>
  <si>
    <t>9 กรกฏาคม  67</t>
  </si>
  <si>
    <t>10 กรกฏาคม  67</t>
  </si>
  <si>
    <t>11 กรกฏาคม  67</t>
  </si>
  <si>
    <t>12 กรกฏาคม  67</t>
  </si>
  <si>
    <t>15 กรกฏาคม  67</t>
  </si>
  <si>
    <t>16 กรกฏาคม  67</t>
  </si>
  <si>
    <t>17 กรกฏาคม  67</t>
  </si>
  <si>
    <t>18 กรกฏาคม  67</t>
  </si>
  <si>
    <t>19 กรกฏาคม  67</t>
  </si>
  <si>
    <t>23 กรกฏาคม  67</t>
  </si>
  <si>
    <t>24 กรกฏาคม  67</t>
  </si>
  <si>
    <t>25 กรกฏาคม  67</t>
  </si>
  <si>
    <t>26 กรกฏาคม  67</t>
  </si>
  <si>
    <t>30 กรกฏาคม  67</t>
  </si>
  <si>
    <t>31 กรกฏาคม 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</si>
</sst>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0.0%"/>
    <numFmt numFmtId="167" formatCode="[$-D07041E]d\ mmm\ yy;@"/>
  </numFmts>
  <fonts count="24">
    <font>
      <sz val="10"/>
      <name val="Arial"/>
      <charset val="222"/>
    </font>
    <font>
      <sz val="10"/>
      <name val="Arial"/>
      <charset val="222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b/>
      <sz val="20"/>
      <name val="Cordia New"/>
      <family val="2"/>
    </font>
    <font>
      <b/>
      <sz val="18"/>
      <name val="Cordia New"/>
      <family val="2"/>
      <charset val="22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1"/>
      <name val="Arial"/>
      <family val="2"/>
    </font>
    <font>
      <b/>
      <sz val="13"/>
      <color rgb="FFFF0000"/>
      <name val="Arial"/>
      <family val="2"/>
    </font>
    <font>
      <b/>
      <sz val="16"/>
      <color rgb="FF000000"/>
      <name val="Cordia New"/>
    </font>
    <font>
      <sz val="16"/>
      <color rgb="FF000000"/>
      <name val="Cordia New"/>
    </font>
    <font>
      <b/>
      <u/>
      <sz val="16"/>
      <name val="TH SarabunPSK"/>
    </font>
    <font>
      <sz val="16"/>
      <name val="TH SarabunPSK"/>
    </font>
    <font>
      <b/>
      <sz val="16"/>
      <name val="TH SarabunPSK"/>
    </font>
    <font>
      <sz val="16"/>
      <color rgb="FF000000"/>
      <name val="Cordia New"/>
      <charset val="1"/>
    </font>
    <font>
      <sz val="16"/>
      <color rgb="FF242424"/>
      <name val="Cordia New"/>
    </font>
    <font>
      <sz val="24"/>
      <name val="Cordia New"/>
      <family val="2"/>
      <charset val="222"/>
    </font>
    <font>
      <b/>
      <sz val="24"/>
      <name val="Cordia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117">
    <xf numFmtId="0" fontId="0" fillId="0" borderId="0" xfId="0"/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4" fillId="2" borderId="0" xfId="3" applyFont="1" applyFill="1"/>
    <xf numFmtId="0" fontId="5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5" fillId="2" borderId="1" xfId="3" applyFont="1" applyFill="1" applyBorder="1" applyAlignment="1">
      <alignment horizontal="center"/>
    </xf>
    <xf numFmtId="164" fontId="7" fillId="3" borderId="1" xfId="2" applyFont="1" applyFill="1" applyBorder="1"/>
    <xf numFmtId="164" fontId="7" fillId="2" borderId="1" xfId="2" applyFont="1" applyFill="1" applyBorder="1"/>
    <xf numFmtId="164" fontId="7" fillId="4" borderId="1" xfId="2" applyFont="1" applyFill="1" applyBorder="1"/>
    <xf numFmtId="0" fontId="5" fillId="2" borderId="0" xfId="3" applyFont="1" applyFill="1" applyAlignment="1">
      <alignment horizontal="center"/>
    </xf>
    <xf numFmtId="165" fontId="7" fillId="2" borderId="0" xfId="3" applyNumberFormat="1" applyFont="1" applyFill="1"/>
    <xf numFmtId="0" fontId="7" fillId="2" borderId="0" xfId="3" applyFont="1" applyFill="1"/>
    <xf numFmtId="0" fontId="6" fillId="2" borderId="0" xfId="3" applyFont="1" applyFill="1" applyAlignment="1">
      <alignment horizontal="center"/>
    </xf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11" fillId="2" borderId="0" xfId="3" applyFont="1" applyFill="1" applyAlignment="1">
      <alignment horizontal="left" vertical="center"/>
    </xf>
    <xf numFmtId="0" fontId="12" fillId="3" borderId="0" xfId="3" applyFont="1" applyFill="1" applyAlignment="1">
      <alignment horizontal="center" vertical="center"/>
    </xf>
    <xf numFmtId="0" fontId="11" fillId="2" borderId="0" xfId="3" applyFont="1" applyFill="1"/>
    <xf numFmtId="166" fontId="7" fillId="2" borderId="2" xfId="1" applyNumberFormat="1" applyFont="1" applyFill="1" applyBorder="1" applyAlignment="1">
      <alignment horizontal="center" vertical="center" wrapText="1"/>
    </xf>
    <xf numFmtId="166" fontId="7" fillId="2" borderId="1" xfId="1" applyNumberFormat="1" applyFont="1" applyFill="1" applyBorder="1" applyAlignment="1">
      <alignment horizontal="center" vertical="center" wrapText="1"/>
    </xf>
    <xf numFmtId="0" fontId="12" fillId="2" borderId="0" xfId="3" applyFont="1" applyFill="1" applyAlignment="1">
      <alignment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4" fontId="13" fillId="5" borderId="10" xfId="0" applyNumberFormat="1" applyFont="1" applyFill="1" applyBorder="1" applyAlignment="1">
      <alignment horizontal="center" vertical="center" wrapText="1"/>
    </xf>
    <xf numFmtId="4" fontId="13" fillId="0" borderId="10" xfId="0" applyNumberFormat="1" applyFont="1" applyBorder="1" applyAlignment="1">
      <alignment horizontal="center" vertical="center" wrapText="1"/>
    </xf>
    <xf numFmtId="0" fontId="16" fillId="2" borderId="0" xfId="3" applyFont="1" applyFill="1" applyAlignment="1">
      <alignment vertical="center"/>
    </xf>
    <xf numFmtId="0" fontId="18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7" fontId="18" fillId="0" borderId="1" xfId="0" applyNumberFormat="1" applyFont="1" applyBorder="1" applyAlignment="1">
      <alignment horizontal="center"/>
    </xf>
    <xf numFmtId="167" fontId="18" fillId="0" borderId="0" xfId="0" applyNumberFormat="1" applyFont="1" applyAlignment="1">
      <alignment horizontal="center"/>
    </xf>
    <xf numFmtId="0" fontId="18" fillId="0" borderId="11" xfId="0" applyFont="1" applyBorder="1" applyAlignment="1">
      <alignment horizontal="center"/>
    </xf>
    <xf numFmtId="167" fontId="18" fillId="0" borderId="11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167" fontId="18" fillId="0" borderId="3" xfId="0" applyNumberFormat="1" applyFont="1" applyBorder="1" applyAlignment="1">
      <alignment horizontal="center"/>
    </xf>
    <xf numFmtId="4" fontId="2" fillId="0" borderId="10" xfId="0" applyNumberFormat="1" applyFont="1" applyBorder="1" applyAlignment="1">
      <alignment horizontal="center" vertical="center" wrapText="1"/>
    </xf>
    <xf numFmtId="4" fontId="2" fillId="5" borderId="1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4" fillId="2" borderId="0" xfId="0" applyFont="1" applyFill="1"/>
    <xf numFmtId="0" fontId="6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2" fontId="11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 wrapText="1"/>
    </xf>
    <xf numFmtId="0" fontId="22" fillId="6" borderId="0" xfId="0" applyFont="1" applyFill="1" applyAlignment="1">
      <alignment vertical="center"/>
    </xf>
    <xf numFmtId="0" fontId="23" fillId="6" borderId="0" xfId="0" applyFont="1" applyFill="1" applyAlignment="1">
      <alignment horizontal="left" vertical="center"/>
    </xf>
    <xf numFmtId="0" fontId="23" fillId="6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7" fillId="2" borderId="0" xfId="0" applyFont="1" applyFill="1"/>
    <xf numFmtId="0" fontId="5" fillId="2" borderId="0" xfId="0" applyFont="1" applyFill="1" applyAlignment="1">
      <alignment horizontal="center"/>
    </xf>
    <xf numFmtId="165" fontId="7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164" fontId="7" fillId="2" borderId="1" xfId="4" applyFont="1" applyFill="1" applyBorder="1"/>
    <xf numFmtId="0" fontId="5" fillId="2" borderId="1" xfId="0" applyFont="1" applyFill="1" applyBorder="1" applyAlignment="1">
      <alignment horizontal="center"/>
    </xf>
    <xf numFmtId="164" fontId="7" fillId="4" borderId="1" xfId="4" applyFont="1" applyFill="1" applyBorder="1"/>
    <xf numFmtId="164" fontId="7" fillId="3" borderId="1" xfId="4" applyFont="1" applyFill="1" applyBorder="1"/>
    <xf numFmtId="0" fontId="6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3" applyFont="1" applyFill="1" applyAlignment="1">
      <alignment horizontal="left" vertical="center" wrapText="1"/>
    </xf>
    <xf numFmtId="0" fontId="11" fillId="2" borderId="0" xfId="3" applyFont="1" applyFill="1" applyAlignment="1">
      <alignment horizontal="left" vertical="center"/>
    </xf>
    <xf numFmtId="0" fontId="11" fillId="2" borderId="0" xfId="3" applyFont="1" applyFill="1" applyAlignment="1">
      <alignment horizontal="left" vertical="center" wrapText="1"/>
    </xf>
    <xf numFmtId="0" fontId="10" fillId="6" borderId="0" xfId="3" applyFont="1" applyFill="1" applyAlignment="1">
      <alignment horizontal="center" vertical="center"/>
    </xf>
    <xf numFmtId="0" fontId="12" fillId="2" borderId="0" xfId="3" applyFont="1" applyFill="1" applyAlignment="1">
      <alignment vertical="center" wrapText="1"/>
    </xf>
    <xf numFmtId="0" fontId="15" fillId="2" borderId="0" xfId="3" applyFont="1" applyFill="1" applyAlignment="1">
      <alignment horizontal="left" vertical="center" wrapText="1"/>
    </xf>
    <xf numFmtId="0" fontId="8" fillId="2" borderId="0" xfId="3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0" fillId="2" borderId="0" xfId="3" applyFont="1" applyFill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16" fillId="2" borderId="0" xfId="3" applyFont="1" applyFill="1" applyAlignment="1">
      <alignment horizontal="left" vertical="center"/>
    </xf>
    <xf numFmtId="0" fontId="21" fillId="2" borderId="0" xfId="3" applyFont="1" applyFill="1" applyAlignment="1">
      <alignment horizontal="left" vertical="center"/>
    </xf>
    <xf numFmtId="0" fontId="11" fillId="2" borderId="0" xfId="3" applyFont="1" applyFill="1" applyAlignment="1">
      <alignment vertical="center" wrapText="1"/>
    </xf>
    <xf numFmtId="0" fontId="20" fillId="2" borderId="0" xfId="3" applyFont="1" applyFill="1" applyAlignment="1">
      <alignment horizontal="left" vertical="center" wrapText="1"/>
    </xf>
    <xf numFmtId="0" fontId="16" fillId="2" borderId="0" xfId="3" applyFont="1" applyFill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</cellXfs>
  <cellStyles count="5">
    <cellStyle name="เปอร์เซ็นต์" xfId="1" builtinId="5"/>
    <cellStyle name="จุลภาค 2" xfId="2" xr:uid="{56B29198-CAE5-4F74-A0E8-E4CD75E157D6}"/>
    <cellStyle name="จุลภาค 3" xfId="4" xr:uid="{3BDC3750-115C-4AC8-83C2-FB6ADF98ABC6}"/>
    <cellStyle name="ปกติ" xfId="0" builtinId="0"/>
    <cellStyle name="ปกติ 2" xfId="3" xr:uid="{6A3C3F21-2AF0-4D14-B3BB-D5CEB6D8B5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</a:t>
            </a:r>
            <a:r>
              <a:rPr lang="th-TH"/>
              <a:t>........กับ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ฟอร์มใหม่!$C$4</c:f>
              <c:strCache>
                <c:ptCount val="1"/>
                <c:pt idx="0">
                  <c:v> (ลบ.ม.)ปี.....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ฟอร์มใหม่!$A$5:$A$17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ฟอร์มใหม่!$C$5:$C$17</c:f>
              <c:numCache>
                <c:formatCode>_-* #,##0.00_-;\-* #,##0.00_-;_-* "-"??_-;_-@_-</c:formatCode>
                <c:ptCount val="13"/>
                <c:pt idx="0">
                  <c:v>500</c:v>
                </c:pt>
                <c:pt idx="1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A-4CFE-9364-4AAABB65C3DF}"/>
            </c:ext>
          </c:extLst>
        </c:ser>
        <c:ser>
          <c:idx val="1"/>
          <c:order val="1"/>
          <c:tx>
            <c:strRef>
              <c:f>ฟอร์มใหม่!$G$4</c:f>
              <c:strCache>
                <c:ptCount val="1"/>
                <c:pt idx="0">
                  <c:v>(ลบ.ม)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ฟอร์มใหม่!$A$5:$A$17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ฟอร์มใหม่!$G$5:$G$17</c:f>
              <c:numCache>
                <c:formatCode>_-* #,##0.00_-;\-* #,##0.00_-;_-* "-"??_-;_-@_-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A-4CFE-9364-4AAABB65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9090256"/>
        <c:axId val="1"/>
      </c:barChart>
      <c:catAx>
        <c:axId val="20790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2079090256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933662643704785E-2"/>
          <c:y val="0.89299469630593065"/>
          <c:w val="0.80927463200730276"/>
          <c:h val="8.868782942764379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........กับ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ฟอร์มใหม่!$E$4</c:f>
              <c:strCache>
                <c:ptCount val="1"/>
                <c:pt idx="0">
                  <c:v>(ลบ.ม./คน) ปี…........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ฟอร์มใหม่!$A$5:$A$17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ฟอร์มใหม่!$E$5:$E$17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E-4FB2-814A-8AAA19007347}"/>
            </c:ext>
          </c:extLst>
        </c:ser>
        <c:ser>
          <c:idx val="1"/>
          <c:order val="1"/>
          <c:tx>
            <c:strRef>
              <c:f>ฟอร์มใหม่!$I$4</c:f>
              <c:strCache>
                <c:ptCount val="1"/>
                <c:pt idx="0">
                  <c:v>(ลบ.ม./คน)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ฟอร์มใหม่!$A$5:$A$17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ฟอร์มใหม่!$I$5:$I$17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E-4FB2-814A-8AAA19007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9105616"/>
        <c:axId val="1"/>
      </c:barChart>
      <c:catAx>
        <c:axId val="207910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2079105616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86353220359"/>
          <c:y val="0.92455811425228374"/>
          <c:w val="0.85613110733053399"/>
          <c:h val="5.66055988317724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........กับ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8578015748031496"/>
          <c:y val="3.7621758583639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32448765350954339"/>
          <c:w val="0.65239819587957892"/>
          <c:h val="0.4855854237909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C7-4239-8EE2-A0461FD3541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6C7-4239-8EE2-A0461FD3541E}"/>
              </c:ext>
            </c:extLst>
          </c:dPt>
          <c:cat>
            <c:strRef>
              <c:f>(ฟอร์มใหม่!$C$4,ฟอร์มใหม่!$G$4)</c:f>
              <c:strCache>
                <c:ptCount val="2"/>
                <c:pt idx="0">
                  <c:v> (ลบ.ม.)ปี.....</c:v>
                </c:pt>
                <c:pt idx="1">
                  <c:v>(ลบ.ม) ปี 2569</c:v>
                </c:pt>
              </c:strCache>
            </c:strRef>
          </c:cat>
          <c:val>
            <c:numRef>
              <c:f>(ฟอร์มใหม่!$C$18,ฟอร์มใหม่!$G$18)</c:f>
              <c:numCache>
                <c:formatCode>_-* #,##0.00_-;\-* #,##0.00_-;_-* "-"??_-;_-@_-</c:formatCode>
                <c:ptCount val="2"/>
                <c:pt idx="0">
                  <c:v>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C7-4239-8EE2-A0461FD35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105136"/>
        <c:axId val="1"/>
      </c:barChart>
      <c:catAx>
        <c:axId val="207910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2079105136"/>
        <c:crosses val="autoZero"/>
        <c:crossBetween val="between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........กับ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814579629159"/>
          <c:y val="2.333338882322584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1-4A27-9F03-8E79B1FA04DA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D61-4A27-9F03-8E79B1FA04DA}"/>
              </c:ext>
            </c:extLst>
          </c:dPt>
          <c:cat>
            <c:strRef>
              <c:f>(ฟอร์มใหม่!$E$4,ฟอร์มใหม่!$I$4)</c:f>
              <c:strCache>
                <c:ptCount val="2"/>
                <c:pt idx="0">
                  <c:v>(ลบ.ม./คน) ปี…........</c:v>
                </c:pt>
                <c:pt idx="1">
                  <c:v>(ลบ.ม./คน) ปี 2569</c:v>
                </c:pt>
              </c:strCache>
            </c:strRef>
          </c:cat>
          <c:val>
            <c:numRef>
              <c:f>(ฟอร์มใหม่!$E$18,ฟอร์มใหม่!$I$18)</c:f>
              <c:numCache>
                <c:formatCode>_-* #,##0.00_-;\-* #,##0.00_-;_-*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61-4A27-9F03-8E79B1FA0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100336"/>
        <c:axId val="1"/>
      </c:barChart>
      <c:catAx>
        <c:axId val="20791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2079100336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</a:t>
            </a:r>
            <a:r>
              <a:rPr lang="th-TH"/>
              <a:t>56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3-4A4D-B741-1DF7C2C88AE5}"/>
            </c:ext>
          </c:extLst>
        </c:ser>
        <c:ser>
          <c:idx val="1"/>
          <c:order val="1"/>
          <c:tx>
            <c:strRef>
              <c:f>[1]น้ำ!$G$4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3-4A4D-B741-1DF7C2C88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974992"/>
        <c:axId val="1"/>
      </c:barChart>
      <c:catAx>
        <c:axId val="19009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0974992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24901943436E-2"/>
          <c:y val="0.89605268666570048"/>
          <c:w val="0.80927452888613649"/>
          <c:h val="8.868750301917782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5-4A38-B85B-88A022F08DCE}"/>
            </c:ext>
          </c:extLst>
        </c:ser>
        <c:ser>
          <c:idx val="1"/>
          <c:order val="1"/>
          <c:tx>
            <c:strRef>
              <c:f>[1]น้ำ!$I$4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5-4A38-B85B-88A022F0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6103472"/>
        <c:axId val="1"/>
      </c:barChart>
      <c:catAx>
        <c:axId val="190610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3472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1344514139"/>
          <c:y val="0.92770291371806368"/>
          <c:w val="0.86049171819624248"/>
          <c:h val="5.66058673045616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5999549136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1A-4D03-91C3-8046AE782A2A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21A-4D03-91C3-8046AE782A2A}"/>
              </c:ext>
            </c:extLst>
          </c:dPt>
          <c:cat>
            <c:strRef>
              <c:f>([1]น้ำ!$C$4,[1]น้ำ!$G$4)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([1]น้ำ!$C$18,[1]น้ำ!$G$18)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A-4D03-91C3-8046AE78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102512"/>
        <c:axId val="1"/>
      </c:barChart>
      <c:catAx>
        <c:axId val="19061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2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33333333333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4E5-4998-ADE4-027733570928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54E5-4998-ADE4-027733570928}"/>
              </c:ext>
            </c:extLst>
          </c:dPt>
          <c:cat>
            <c:strRef>
              <c:f>([1]น้ำ!$E$4,[1]น้ำ!$I$4)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([1]น้ำ!$E$18,[1]น้ำ!$I$18)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5-4998-ADE4-027733570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64272"/>
        <c:axId val="1"/>
      </c:barChart>
      <c:catAx>
        <c:axId val="11011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01164272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56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887292213473316"/>
          <c:y val="0.16097295129775446"/>
          <c:w val="0.82834930008748908"/>
          <c:h val="0.6158869203849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E-4183-AB5D-8A7107034466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291</c:v>
                </c:pt>
                <c:pt idx="1">
                  <c:v>467.29999999998836</c:v>
                </c:pt>
                <c:pt idx="2">
                  <c:v>507.59999999997672</c:v>
                </c:pt>
                <c:pt idx="3">
                  <c:v>452.29999999998836</c:v>
                </c:pt>
                <c:pt idx="4">
                  <c:v>408.70000000001164</c:v>
                </c:pt>
                <c:pt idx="5">
                  <c:v>369</c:v>
                </c:pt>
                <c:pt idx="6">
                  <c:v>462.10000000003492</c:v>
                </c:pt>
                <c:pt idx="7">
                  <c:v>348.59999999997672</c:v>
                </c:pt>
                <c:pt idx="8">
                  <c:v>355.5</c:v>
                </c:pt>
                <c:pt idx="9">
                  <c:v>463.59999999997672</c:v>
                </c:pt>
                <c:pt idx="10">
                  <c:v>508.10000000003492</c:v>
                </c:pt>
                <c:pt idx="11">
                  <c:v>1032.5999999999767</c:v>
                </c:pt>
                <c:pt idx="12">
                  <c:v>472.19999999999709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E-4183-AB5D-8A710703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005632"/>
        <c:axId val="1801008032"/>
      </c:barChart>
      <c:catAx>
        <c:axId val="1801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8032"/>
        <c:crosses val="autoZero"/>
        <c:auto val="1"/>
        <c:lblAlgn val="ctr"/>
        <c:lblOffset val="100"/>
        <c:noMultiLvlLbl val="0"/>
      </c:catAx>
      <c:valAx>
        <c:axId val="18010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เปรียบเทียบปริมาณการใช้น้ำต่อคนระหว่าง ปี 2566 กับ ปี 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B5D-4A58-8BED-394200FB6B5C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3.0631578947368423</c:v>
                </c:pt>
                <c:pt idx="1">
                  <c:v>4.9189473684209304</c:v>
                </c:pt>
                <c:pt idx="2">
                  <c:v>5.3431578947365974</c:v>
                </c:pt>
                <c:pt idx="3">
                  <c:v>4.7610526315788251</c:v>
                </c:pt>
                <c:pt idx="4">
                  <c:v>4.3021052631580172</c:v>
                </c:pt>
                <c:pt idx="5">
                  <c:v>3.8842105263157896</c:v>
                </c:pt>
                <c:pt idx="6">
                  <c:v>4.8642105263161568</c:v>
                </c:pt>
                <c:pt idx="7">
                  <c:v>3.6694736842102813</c:v>
                </c:pt>
                <c:pt idx="8">
                  <c:v>3.7421052631578946</c:v>
                </c:pt>
                <c:pt idx="9">
                  <c:v>4.8799999999997548</c:v>
                </c:pt>
                <c:pt idx="10">
                  <c:v>5.3484210526319469</c:v>
                </c:pt>
                <c:pt idx="11">
                  <c:v>10.869473684210281</c:v>
                </c:pt>
                <c:pt idx="12">
                  <c:v>4.970526315789443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B5D-4A58-8BED-394200FB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375623"/>
        <c:axId val="301061127"/>
      </c:barChart>
      <c:catAx>
        <c:axId val="2753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1127"/>
        <c:crosses val="autoZero"/>
        <c:auto val="1"/>
        <c:lblAlgn val="ctr"/>
        <c:lblOffset val="100"/>
        <c:noMultiLvlLbl val="0"/>
      </c:catAx>
      <c:valAx>
        <c:axId val="30106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7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B-4A7B-8057-2E3316CE7C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5523</c:v>
                </c:pt>
                <c:pt idx="1">
                  <c:v>5666.3999999999651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B-4A7B-8057-2E3316CE7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903151"/>
        <c:axId val="656894031"/>
      </c:barChart>
      <c:catAx>
        <c:axId val="6569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94031"/>
        <c:crosses val="autoZero"/>
        <c:auto val="1"/>
        <c:lblAlgn val="ctr"/>
        <c:lblOffset val="100"/>
        <c:noMultiLvlLbl val="0"/>
      </c:catAx>
      <c:valAx>
        <c:axId val="656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B9-4C7F-9567-4EBC4D610F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('2567'!$E$4,'2567'!$I$4)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('2567'!$E$18,'2567'!$I$18)</c:f>
              <c:numCache>
                <c:formatCode>_-* #,##0.00_-;\-* #,##0.00_-;_-* "-"??_-;_-@_-</c:formatCode>
                <c:ptCount val="2"/>
                <c:pt idx="0">
                  <c:v>58.755319148936167</c:v>
                </c:pt>
                <c:pt idx="1">
                  <c:v>59.64631578947332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9-4C7F-9567-4EBC4D610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326576"/>
        <c:axId val="893328496"/>
      </c:barChart>
      <c:catAx>
        <c:axId val="893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8496"/>
        <c:crosses val="autoZero"/>
        <c:auto val="1"/>
        <c:lblAlgn val="ctr"/>
        <c:lblOffset val="100"/>
        <c:noMultiLvlLbl val="0"/>
      </c:catAx>
      <c:valAx>
        <c:axId val="893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</a:t>
            </a:r>
            <a:r>
              <a:rPr lang="th-TH"/>
              <a:t>56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3-4A69-83BF-7F9604F8C66F}"/>
            </c:ext>
          </c:extLst>
        </c:ser>
        <c:ser>
          <c:idx val="1"/>
          <c:order val="1"/>
          <c:tx>
            <c:strRef>
              <c:f>[1]น้ำ!$G$4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3-4A69-83BF-7F9604F8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974992"/>
        <c:axId val="1"/>
      </c:barChart>
      <c:catAx>
        <c:axId val="19009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0974992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24901943436E-2"/>
          <c:y val="0.89605268666570048"/>
          <c:w val="0.80927452888613649"/>
          <c:h val="8.868750301917782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4-4ED4-841B-C1AC82DDB7E1}"/>
            </c:ext>
          </c:extLst>
        </c:ser>
        <c:ser>
          <c:idx val="1"/>
          <c:order val="1"/>
          <c:tx>
            <c:strRef>
              <c:f>[1]น้ำ!$I$4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4-4ED4-841B-C1AC82DD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6103472"/>
        <c:axId val="1"/>
      </c:barChart>
      <c:catAx>
        <c:axId val="190610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3472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1344514139"/>
          <c:y val="0.92770291371806368"/>
          <c:w val="0.86049171819624248"/>
          <c:h val="5.66058673045616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5999549136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D7-419D-AA42-0BA22BE1BE5D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ADD7-419D-AA42-0BA22BE1BE5D}"/>
              </c:ext>
            </c:extLst>
          </c:dPt>
          <c:cat>
            <c:strRef>
              <c:f>([1]น้ำ!$C$4,[1]น้ำ!$G$4)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([1]น้ำ!$C$18,[1]น้ำ!$G$18)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D7-419D-AA42-0BA22BE1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102512"/>
        <c:axId val="1"/>
      </c:barChart>
      <c:catAx>
        <c:axId val="19061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2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33333333333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1A-40E7-B89A-EFD73C0ABC47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61A-40E7-B89A-EFD73C0ABC47}"/>
              </c:ext>
            </c:extLst>
          </c:dPt>
          <c:cat>
            <c:strRef>
              <c:f>([1]น้ำ!$E$4,[1]น้ำ!$I$4)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([1]น้ำ!$E$18,[1]น้ำ!$I$18)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1A-40E7-B89A-EFD73C0AB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64272"/>
        <c:axId val="1"/>
      </c:barChart>
      <c:catAx>
        <c:axId val="11011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01164272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เปรียบเทียบปริมาณการใช้น้ำระหว่างปี 2557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887292213473316"/>
          <c:y val="0.16097295129775446"/>
          <c:w val="0.82834930008748908"/>
          <c:h val="0.6158869203849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(ลบ.ม.)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291</c:v>
                </c:pt>
                <c:pt idx="1">
                  <c:v>467.29999999998836</c:v>
                </c:pt>
                <c:pt idx="2">
                  <c:v>507.59999999997672</c:v>
                </c:pt>
                <c:pt idx="3">
                  <c:v>452.29999999998836</c:v>
                </c:pt>
                <c:pt idx="4">
                  <c:v>408.70000000001164</c:v>
                </c:pt>
                <c:pt idx="5">
                  <c:v>369</c:v>
                </c:pt>
                <c:pt idx="6">
                  <c:v>462.10000000003492</c:v>
                </c:pt>
                <c:pt idx="7">
                  <c:v>348.59999999997672</c:v>
                </c:pt>
                <c:pt idx="8">
                  <c:v>355.5</c:v>
                </c:pt>
                <c:pt idx="9">
                  <c:v>463.59999999997672</c:v>
                </c:pt>
                <c:pt idx="10">
                  <c:v>508.10000000003492</c:v>
                </c:pt>
                <c:pt idx="11">
                  <c:v>1032.5999999999767</c:v>
                </c:pt>
                <c:pt idx="12">
                  <c:v>472.19999999999709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9-4301-9DDC-05E8270DD5E9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(ลบ.ม.)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939</c:v>
                </c:pt>
                <c:pt idx="1">
                  <c:v>447.5</c:v>
                </c:pt>
                <c:pt idx="2">
                  <c:v>555</c:v>
                </c:pt>
                <c:pt idx="3">
                  <c:v>594.60000000003492</c:v>
                </c:pt>
                <c:pt idx="4">
                  <c:v>697.29999999998836</c:v>
                </c:pt>
                <c:pt idx="5">
                  <c:v>662.70000000001164</c:v>
                </c:pt>
                <c:pt idx="6">
                  <c:v>642.69999999995343</c:v>
                </c:pt>
                <c:pt idx="7">
                  <c:v>696.5</c:v>
                </c:pt>
                <c:pt idx="8">
                  <c:v>734.10000000003492</c:v>
                </c:pt>
                <c:pt idx="9">
                  <c:v>599.39999999996508</c:v>
                </c:pt>
                <c:pt idx="10">
                  <c:v>840.60000000003492</c:v>
                </c:pt>
                <c:pt idx="11">
                  <c:v>928.09999999997672</c:v>
                </c:pt>
                <c:pt idx="12">
                  <c:v>694.79166666666663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9-4301-9DDC-05E8270DD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005632"/>
        <c:axId val="1801008032"/>
      </c:barChart>
      <c:catAx>
        <c:axId val="1801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8032"/>
        <c:crosses val="autoZero"/>
        <c:auto val="1"/>
        <c:lblAlgn val="ctr"/>
        <c:lblOffset val="100"/>
        <c:noMultiLvlLbl val="0"/>
      </c:catAx>
      <c:valAx>
        <c:axId val="18010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เปรียบเทียบปริมาณการใช้น้ำต่อคนระหว่าง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(ลบ.ม./คน)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0.74807197943444725</c:v>
                </c:pt>
                <c:pt idx="1">
                  <c:v>0.53466819221966633</c:v>
                </c:pt>
                <c:pt idx="2">
                  <c:v>0.36943231441046342</c:v>
                </c:pt>
                <c:pt idx="3">
                  <c:v>0.66125730994150345</c:v>
                </c:pt>
                <c:pt idx="4">
                  <c:v>0.4959951456310821</c:v>
                </c:pt>
                <c:pt idx="5">
                  <c:v>0.28626842513576417</c:v>
                </c:pt>
                <c:pt idx="6">
                  <c:v>0.2533442982456332</c:v>
                </c:pt>
                <c:pt idx="7">
                  <c:v>0.18752017213554423</c:v>
                </c:pt>
                <c:pt idx="8">
                  <c:v>0.11165201005025126</c:v>
                </c:pt>
                <c:pt idx="9">
                  <c:v>0.42767527675274603</c:v>
                </c:pt>
                <c:pt idx="10">
                  <c:v>0.48436606291709716</c:v>
                </c:pt>
                <c:pt idx="11">
                  <c:v>1.0767466110531561</c:v>
                </c:pt>
                <c:pt idx="12">
                  <c:v>0.46974981649394615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A-4AAC-9F40-C29789EE4F01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(ลบ.ม./คน)ปี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1.3319148936170213</c:v>
                </c:pt>
                <c:pt idx="1">
                  <c:v>0.36088709677419356</c:v>
                </c:pt>
                <c:pt idx="2">
                  <c:v>0.39084507042253519</c:v>
                </c:pt>
                <c:pt idx="3">
                  <c:v>0.92906250000005453</c:v>
                </c:pt>
                <c:pt idx="4">
                  <c:v>0.88265822784808656</c:v>
                </c:pt>
                <c:pt idx="5">
                  <c:v>0.3232682926829325</c:v>
                </c:pt>
                <c:pt idx="6">
                  <c:v>0.49249042145590299</c:v>
                </c:pt>
                <c:pt idx="7">
                  <c:v>0.50654545454545452</c:v>
                </c:pt>
                <c:pt idx="8">
                  <c:v>0.58963855421689548</c:v>
                </c:pt>
                <c:pt idx="9">
                  <c:v>0.59346534653461891</c:v>
                </c:pt>
                <c:pt idx="10">
                  <c:v>1.0314110429448282</c:v>
                </c:pt>
                <c:pt idx="11">
                  <c:v>0.98734042553189016</c:v>
                </c:pt>
                <c:pt idx="12">
                  <c:v>0.61599556704839298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A-4AAC-9F40-C29789EE4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375623"/>
        <c:axId val="301061127"/>
      </c:barChart>
      <c:catAx>
        <c:axId val="2753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1127"/>
        <c:crosses val="autoZero"/>
        <c:auto val="1"/>
        <c:lblAlgn val="ctr"/>
        <c:lblOffset val="100"/>
        <c:noMultiLvlLbl val="0"/>
      </c:catAx>
      <c:valAx>
        <c:axId val="30106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7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3F-4E78-A41C-B15EB730D0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(ลบ.ม.) ปี2567</c:v>
                </c:pt>
                <c:pt idx="1">
                  <c:v>(ลบ.ม.)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5666.3999999999651</c:v>
                </c:pt>
                <c:pt idx="1">
                  <c:v>8337.5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F-4E78-A41C-B15EB730D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903151"/>
        <c:axId val="656894031"/>
      </c:barChart>
      <c:catAx>
        <c:axId val="6569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94031"/>
        <c:crosses val="autoZero"/>
        <c:auto val="1"/>
        <c:lblAlgn val="ctr"/>
        <c:lblOffset val="100"/>
        <c:noMultiLvlLbl val="0"/>
      </c:catAx>
      <c:valAx>
        <c:axId val="656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4C-431A-87A2-3ABD8689F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(ลบ.ม./คน) ปี2567</c:v>
                </c:pt>
                <c:pt idx="1">
                  <c:v>(ลบ.ม./คน)ปี 2568</c:v>
                </c:pt>
              </c:strCache>
            </c:strRef>
          </c:cat>
          <c:val>
            <c:numRef>
              <c:f>('2568'!$E$18,'2568'!$I$18)</c:f>
              <c:numCache>
                <c:formatCode>_-* #,##0.00_-;\-* #,##0.00_-;_-* "-"??_-;_-@_-</c:formatCode>
                <c:ptCount val="2"/>
                <c:pt idx="0">
                  <c:v>5.6369977979273536</c:v>
                </c:pt>
                <c:pt idx="1">
                  <c:v>8.4195273265744142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C-431A-87A2-3ABD8689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326576"/>
        <c:axId val="893328496"/>
      </c:barChart>
      <c:catAx>
        <c:axId val="893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8496"/>
        <c:crosses val="autoZero"/>
        <c:auto val="1"/>
        <c:lblAlgn val="ctr"/>
        <c:lblOffset val="100"/>
        <c:noMultiLvlLbl val="0"/>
      </c:catAx>
      <c:valAx>
        <c:axId val="893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2568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(ลบ.ม.)ปี2568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939</c:v>
                </c:pt>
                <c:pt idx="1">
                  <c:v>447.5</c:v>
                </c:pt>
                <c:pt idx="2">
                  <c:v>555</c:v>
                </c:pt>
                <c:pt idx="3">
                  <c:v>594.60000000003492</c:v>
                </c:pt>
                <c:pt idx="4">
                  <c:v>697.29999999998836</c:v>
                </c:pt>
                <c:pt idx="5">
                  <c:v>662.70000000001164</c:v>
                </c:pt>
                <c:pt idx="6">
                  <c:v>642.69999999995343</c:v>
                </c:pt>
                <c:pt idx="7">
                  <c:v>696.5</c:v>
                </c:pt>
                <c:pt idx="8">
                  <c:v>734.10000000003492</c:v>
                </c:pt>
                <c:pt idx="9">
                  <c:v>599.39999999996508</c:v>
                </c:pt>
                <c:pt idx="10">
                  <c:v>840.60000000003492</c:v>
                </c:pt>
                <c:pt idx="11">
                  <c:v>928.09999999997672</c:v>
                </c:pt>
                <c:pt idx="12">
                  <c:v>694.79166666666663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E-42F6-9287-883432303CC2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(ลบ.ม)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0">
                  <c:v>1098.4000000000233</c:v>
                </c:pt>
                <c:pt idx="1">
                  <c:v>944.59999999997672</c:v>
                </c:pt>
                <c:pt idx="2">
                  <c:v>909.70000000001164</c:v>
                </c:pt>
                <c:pt idx="3">
                  <c:v>858.29999999998836</c:v>
                </c:pt>
                <c:pt idx="4">
                  <c:v>539.96</c:v>
                </c:pt>
                <c:pt idx="5">
                  <c:v>574.71</c:v>
                </c:pt>
                <c:pt idx="6">
                  <c:v>646.3599999999999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464.33583333333331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E-42F6-9287-88343230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1391072"/>
        <c:axId val="1"/>
      </c:barChart>
      <c:catAx>
        <c:axId val="15913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91391072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933662643704785E-2"/>
          <c:y val="0.89299469630593065"/>
          <c:w val="0.80927463200730276"/>
          <c:h val="8.868782942764379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(ลบ.ม./คน) 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1.3319148936170213</c:v>
                </c:pt>
                <c:pt idx="1">
                  <c:v>0.36088709677419356</c:v>
                </c:pt>
                <c:pt idx="2">
                  <c:v>0.39084507042253519</c:v>
                </c:pt>
                <c:pt idx="3">
                  <c:v>0.92906250000005453</c:v>
                </c:pt>
                <c:pt idx="4">
                  <c:v>0.88265822784808656</c:v>
                </c:pt>
                <c:pt idx="5">
                  <c:v>0.3232682926829325</c:v>
                </c:pt>
                <c:pt idx="6">
                  <c:v>0.49249042145590299</c:v>
                </c:pt>
                <c:pt idx="7">
                  <c:v>0.50654545454545452</c:v>
                </c:pt>
                <c:pt idx="8">
                  <c:v>0.58963855421689548</c:v>
                </c:pt>
                <c:pt idx="9">
                  <c:v>0.59346534653461891</c:v>
                </c:pt>
                <c:pt idx="10">
                  <c:v>1.0314110429448282</c:v>
                </c:pt>
                <c:pt idx="11">
                  <c:v>0.98734042553189016</c:v>
                </c:pt>
                <c:pt idx="12">
                  <c:v>0.70162727721453455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3-4764-A096-AE80DCCEFA22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(ลบ.ม./คน)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3-4764-A096-AE80DCCEF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5105936"/>
        <c:axId val="1"/>
      </c:barChart>
      <c:catAx>
        <c:axId val="35510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355105936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86353220359"/>
          <c:y val="0.92455811425228374"/>
          <c:w val="0.85613110733053399"/>
          <c:h val="5.66055988317724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8578015748031496"/>
          <c:y val="3.7621758583639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32448765350954339"/>
          <c:w val="0.65239819587957892"/>
          <c:h val="0.4855854237909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30-4A58-BDA2-DC50D30625A4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130-4A58-BDA2-DC50D30625A4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(ลบ.ม.)ปี2568</c:v>
                </c:pt>
                <c:pt idx="1">
                  <c:v>(ลบ.ม)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8337.5</c:v>
                </c:pt>
                <c:pt idx="1">
                  <c:v>5572.03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30-4A58-BDA2-DC50D306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381343"/>
        <c:axId val="1"/>
      </c:barChart>
      <c:catAx>
        <c:axId val="104538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045381343"/>
        <c:crosses val="autoZero"/>
        <c:crossBetween val="between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814579629159"/>
          <c:y val="2.333338882322584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90-40A3-A040-1DA5D9836828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C90-40A3-A040-1DA5D9836828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(ลบ.ม./คน) ปี2568</c:v>
                </c:pt>
                <c:pt idx="1">
                  <c:v>(ลบ.ม./คน) 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8.4195273265744142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0-40A3-A040-1DA5D983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382783"/>
        <c:axId val="1"/>
      </c:barChart>
      <c:catAx>
        <c:axId val="104538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045382783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1F3C44D5-461C-4CA9-9E12-DEF58EDF6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E5788A95-057A-4E7F-ADC7-6BB9EBB55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1">
          <a:extLst>
            <a:ext uri="{FF2B5EF4-FFF2-40B4-BE49-F238E27FC236}">
              <a16:creationId xmlns:a16="http://schemas.microsoft.com/office/drawing/2014/main" id="{6247595E-3AA9-416C-A4B5-862EACE10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2">
          <a:extLst>
            <a:ext uri="{FF2B5EF4-FFF2-40B4-BE49-F238E27FC236}">
              <a16:creationId xmlns:a16="http://schemas.microsoft.com/office/drawing/2014/main" id="{F1D2CD1A-58C1-4A23-B5E5-35E4B8BA8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597354</xdr:colOff>
      <xdr:row>49</xdr:row>
      <xdr:rowOff>63048</xdr:rowOff>
    </xdr:from>
    <xdr:to>
      <xdr:col>3</xdr:col>
      <xdr:colOff>19480</xdr:colOff>
      <xdr:row>49</xdr:row>
      <xdr:rowOff>326817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2B74483F-2CE5-410C-A3F9-385FB4AECD85}"/>
            </a:ext>
          </a:extLst>
        </xdr:cNvPr>
        <xdr:cNvSpPr/>
      </xdr:nvSpPr>
      <xdr:spPr>
        <a:xfrm>
          <a:off x="1818459" y="9384213"/>
          <a:ext cx="33631" cy="24281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49</xdr:row>
      <xdr:rowOff>61688</xdr:rowOff>
    </xdr:from>
    <xdr:to>
      <xdr:col>5</xdr:col>
      <xdr:colOff>685582</xdr:colOff>
      <xdr:row>49</xdr:row>
      <xdr:rowOff>315688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55E10D34-ABC3-4271-A114-E8DBB38D8A05}"/>
            </a:ext>
          </a:extLst>
        </xdr:cNvPr>
        <xdr:cNvSpPr/>
      </xdr:nvSpPr>
      <xdr:spPr>
        <a:xfrm>
          <a:off x="3478349" y="9384758"/>
          <a:ext cx="179033" cy="2406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53</xdr:row>
      <xdr:rowOff>72573</xdr:rowOff>
    </xdr:from>
    <xdr:to>
      <xdr:col>2</xdr:col>
      <xdr:colOff>824158</xdr:colOff>
      <xdr:row>53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E1A39597-3B87-4359-B9BA-0CAC13AD2127}"/>
            </a:ext>
          </a:extLst>
        </xdr:cNvPr>
        <xdr:cNvSpPr/>
      </xdr:nvSpPr>
      <xdr:spPr>
        <a:xfrm>
          <a:off x="1781720" y="106110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53</xdr:row>
      <xdr:rowOff>71213</xdr:rowOff>
    </xdr:from>
    <xdr:to>
      <xdr:col>5</xdr:col>
      <xdr:colOff>685582</xdr:colOff>
      <xdr:row>53</xdr:row>
      <xdr:rowOff>325213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D47A299B-A78E-4605-9984-C6F6B960495D}"/>
            </a:ext>
          </a:extLst>
        </xdr:cNvPr>
        <xdr:cNvSpPr/>
      </xdr:nvSpPr>
      <xdr:spPr>
        <a:xfrm>
          <a:off x="3478349" y="10611578"/>
          <a:ext cx="179033" cy="2330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57</xdr:row>
      <xdr:rowOff>63048</xdr:rowOff>
    </xdr:from>
    <xdr:to>
      <xdr:col>2</xdr:col>
      <xdr:colOff>824158</xdr:colOff>
      <xdr:row>57</xdr:row>
      <xdr:rowOff>326817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B9AF37DF-5B98-4D54-AE91-0DFB4BE906E2}"/>
            </a:ext>
          </a:extLst>
        </xdr:cNvPr>
        <xdr:cNvSpPr/>
      </xdr:nvSpPr>
      <xdr:spPr>
        <a:xfrm>
          <a:off x="1781720" y="11822613"/>
          <a:ext cx="42563" cy="24281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57</xdr:row>
      <xdr:rowOff>61688</xdr:rowOff>
    </xdr:from>
    <xdr:to>
      <xdr:col>5</xdr:col>
      <xdr:colOff>685582</xdr:colOff>
      <xdr:row>57</xdr:row>
      <xdr:rowOff>315688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95C2E07F-D631-410B-B5B2-022A9F499CBB}"/>
            </a:ext>
          </a:extLst>
        </xdr:cNvPr>
        <xdr:cNvSpPr/>
      </xdr:nvSpPr>
      <xdr:spPr>
        <a:xfrm>
          <a:off x="3478349" y="11823158"/>
          <a:ext cx="179033" cy="2406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61</xdr:row>
      <xdr:rowOff>72573</xdr:rowOff>
    </xdr:from>
    <xdr:to>
      <xdr:col>2</xdr:col>
      <xdr:colOff>824158</xdr:colOff>
      <xdr:row>61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927250E3-0CBF-4669-A980-6EF833945137}"/>
            </a:ext>
          </a:extLst>
        </xdr:cNvPr>
        <xdr:cNvSpPr/>
      </xdr:nvSpPr>
      <xdr:spPr>
        <a:xfrm>
          <a:off x="1781720" y="130494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61</xdr:row>
      <xdr:rowOff>71213</xdr:rowOff>
    </xdr:from>
    <xdr:to>
      <xdr:col>5</xdr:col>
      <xdr:colOff>685582</xdr:colOff>
      <xdr:row>61</xdr:row>
      <xdr:rowOff>325213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FF659E34-8BE5-4AEB-A347-022B77F5CF95}"/>
            </a:ext>
          </a:extLst>
        </xdr:cNvPr>
        <xdr:cNvSpPr/>
      </xdr:nvSpPr>
      <xdr:spPr>
        <a:xfrm>
          <a:off x="3478349" y="13049978"/>
          <a:ext cx="179033" cy="2330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65</xdr:row>
      <xdr:rowOff>72573</xdr:rowOff>
    </xdr:from>
    <xdr:to>
      <xdr:col>2</xdr:col>
      <xdr:colOff>824158</xdr:colOff>
      <xdr:row>65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D5C9C030-2DE2-4EBD-A1F6-0B0FA45712BD}"/>
            </a:ext>
          </a:extLst>
        </xdr:cNvPr>
        <xdr:cNvSpPr/>
      </xdr:nvSpPr>
      <xdr:spPr>
        <a:xfrm>
          <a:off x="1781720" y="142686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65</xdr:row>
      <xdr:rowOff>61688</xdr:rowOff>
    </xdr:from>
    <xdr:to>
      <xdr:col>5</xdr:col>
      <xdr:colOff>685582</xdr:colOff>
      <xdr:row>65</xdr:row>
      <xdr:rowOff>325457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AD452FE7-3BF9-482C-A0E9-E8286296C6FB}"/>
            </a:ext>
          </a:extLst>
        </xdr:cNvPr>
        <xdr:cNvSpPr/>
      </xdr:nvSpPr>
      <xdr:spPr>
        <a:xfrm>
          <a:off x="3478349" y="14261558"/>
          <a:ext cx="179033" cy="24090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69</xdr:row>
      <xdr:rowOff>63048</xdr:rowOff>
    </xdr:from>
    <xdr:to>
      <xdr:col>2</xdr:col>
      <xdr:colOff>824158</xdr:colOff>
      <xdr:row>69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DB09A5CF-5438-4316-BB3B-77782F4B1B78}"/>
            </a:ext>
          </a:extLst>
        </xdr:cNvPr>
        <xdr:cNvSpPr/>
      </xdr:nvSpPr>
      <xdr:spPr>
        <a:xfrm>
          <a:off x="1781720" y="15480213"/>
          <a:ext cx="42563" cy="24281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69</xdr:row>
      <xdr:rowOff>61688</xdr:rowOff>
    </xdr:from>
    <xdr:to>
      <xdr:col>5</xdr:col>
      <xdr:colOff>685582</xdr:colOff>
      <xdr:row>69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4EB8D395-118A-49EB-A8C4-4C09533994D4}"/>
            </a:ext>
          </a:extLst>
        </xdr:cNvPr>
        <xdr:cNvSpPr/>
      </xdr:nvSpPr>
      <xdr:spPr>
        <a:xfrm>
          <a:off x="3478349" y="15480758"/>
          <a:ext cx="179033" cy="2406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73</xdr:row>
      <xdr:rowOff>72573</xdr:rowOff>
    </xdr:from>
    <xdr:to>
      <xdr:col>2</xdr:col>
      <xdr:colOff>824158</xdr:colOff>
      <xdr:row>73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FDCCCAA1-A4B2-4848-B3CE-8B3FBE93C403}"/>
            </a:ext>
          </a:extLst>
        </xdr:cNvPr>
        <xdr:cNvSpPr/>
      </xdr:nvSpPr>
      <xdr:spPr>
        <a:xfrm>
          <a:off x="1781720" y="167070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73</xdr:row>
      <xdr:rowOff>71213</xdr:rowOff>
    </xdr:from>
    <xdr:to>
      <xdr:col>5</xdr:col>
      <xdr:colOff>685582</xdr:colOff>
      <xdr:row>73</xdr:row>
      <xdr:rowOff>325213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2B00D736-1113-4020-A388-3251843D661E}"/>
            </a:ext>
          </a:extLst>
        </xdr:cNvPr>
        <xdr:cNvSpPr/>
      </xdr:nvSpPr>
      <xdr:spPr>
        <a:xfrm>
          <a:off x="3478349" y="16707578"/>
          <a:ext cx="179033" cy="2330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77</xdr:row>
      <xdr:rowOff>72573</xdr:rowOff>
    </xdr:from>
    <xdr:to>
      <xdr:col>2</xdr:col>
      <xdr:colOff>824158</xdr:colOff>
      <xdr:row>77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8F11084A-103C-445F-B050-CC204AA1658C}"/>
            </a:ext>
          </a:extLst>
        </xdr:cNvPr>
        <xdr:cNvSpPr/>
      </xdr:nvSpPr>
      <xdr:spPr>
        <a:xfrm>
          <a:off x="1781720" y="179262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77</xdr:row>
      <xdr:rowOff>71213</xdr:rowOff>
    </xdr:from>
    <xdr:to>
      <xdr:col>5</xdr:col>
      <xdr:colOff>685582</xdr:colOff>
      <xdr:row>77</xdr:row>
      <xdr:rowOff>325213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5AC82A7E-996E-4AC5-9263-D4C3D6029247}"/>
            </a:ext>
          </a:extLst>
        </xdr:cNvPr>
        <xdr:cNvSpPr/>
      </xdr:nvSpPr>
      <xdr:spPr>
        <a:xfrm>
          <a:off x="3478349" y="17926778"/>
          <a:ext cx="179033" cy="2330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81</xdr:row>
      <xdr:rowOff>72573</xdr:rowOff>
    </xdr:from>
    <xdr:to>
      <xdr:col>2</xdr:col>
      <xdr:colOff>824158</xdr:colOff>
      <xdr:row>81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46690951-3217-4F2A-B501-31A0CDA9A253}"/>
            </a:ext>
          </a:extLst>
        </xdr:cNvPr>
        <xdr:cNvSpPr/>
      </xdr:nvSpPr>
      <xdr:spPr>
        <a:xfrm>
          <a:off x="1781720" y="191454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81</xdr:row>
      <xdr:rowOff>61688</xdr:rowOff>
    </xdr:from>
    <xdr:to>
      <xdr:col>5</xdr:col>
      <xdr:colOff>685582</xdr:colOff>
      <xdr:row>81</xdr:row>
      <xdr:rowOff>325457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E3DCA613-D86A-40A2-9654-478EECCEE2E8}"/>
            </a:ext>
          </a:extLst>
        </xdr:cNvPr>
        <xdr:cNvSpPr/>
      </xdr:nvSpPr>
      <xdr:spPr>
        <a:xfrm>
          <a:off x="3478349" y="19138358"/>
          <a:ext cx="179033" cy="24090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85</xdr:row>
      <xdr:rowOff>63048</xdr:rowOff>
    </xdr:from>
    <xdr:to>
      <xdr:col>2</xdr:col>
      <xdr:colOff>824158</xdr:colOff>
      <xdr:row>85</xdr:row>
      <xdr:rowOff>326817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04713C4F-429E-40CD-9DA0-929AECD4BF58}"/>
            </a:ext>
          </a:extLst>
        </xdr:cNvPr>
        <xdr:cNvSpPr/>
      </xdr:nvSpPr>
      <xdr:spPr>
        <a:xfrm>
          <a:off x="1781720" y="20357013"/>
          <a:ext cx="42563" cy="24281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85</xdr:row>
      <xdr:rowOff>61688</xdr:rowOff>
    </xdr:from>
    <xdr:to>
      <xdr:col>5</xdr:col>
      <xdr:colOff>685582</xdr:colOff>
      <xdr:row>85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7F2B7717-1D4B-45A1-9C11-E533A8FCFD69}"/>
            </a:ext>
          </a:extLst>
        </xdr:cNvPr>
        <xdr:cNvSpPr/>
      </xdr:nvSpPr>
      <xdr:spPr>
        <a:xfrm>
          <a:off x="3478349" y="20357558"/>
          <a:ext cx="179033" cy="2406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89</xdr:row>
      <xdr:rowOff>63048</xdr:rowOff>
    </xdr:from>
    <xdr:to>
      <xdr:col>2</xdr:col>
      <xdr:colOff>824158</xdr:colOff>
      <xdr:row>89</xdr:row>
      <xdr:rowOff>326817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12FB3EE9-2BFF-4486-B534-7A94695DCBC1}"/>
            </a:ext>
          </a:extLst>
        </xdr:cNvPr>
        <xdr:cNvSpPr/>
      </xdr:nvSpPr>
      <xdr:spPr>
        <a:xfrm>
          <a:off x="1781720" y="21576213"/>
          <a:ext cx="42563" cy="24281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89</xdr:row>
      <xdr:rowOff>61688</xdr:rowOff>
    </xdr:from>
    <xdr:to>
      <xdr:col>5</xdr:col>
      <xdr:colOff>685582</xdr:colOff>
      <xdr:row>89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8D07D2BE-9E00-4279-92B0-FD2710B5EE13}"/>
            </a:ext>
          </a:extLst>
        </xdr:cNvPr>
        <xdr:cNvSpPr/>
      </xdr:nvSpPr>
      <xdr:spPr>
        <a:xfrm>
          <a:off x="3478349" y="21576758"/>
          <a:ext cx="179033" cy="2406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93</xdr:row>
      <xdr:rowOff>72573</xdr:rowOff>
    </xdr:from>
    <xdr:to>
      <xdr:col>2</xdr:col>
      <xdr:colOff>824158</xdr:colOff>
      <xdr:row>93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D8B930F1-2590-4C49-A173-147CA490235A}"/>
            </a:ext>
          </a:extLst>
        </xdr:cNvPr>
        <xdr:cNvSpPr/>
      </xdr:nvSpPr>
      <xdr:spPr>
        <a:xfrm>
          <a:off x="1781720" y="22803033"/>
          <a:ext cx="42563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93</xdr:row>
      <xdr:rowOff>71213</xdr:rowOff>
    </xdr:from>
    <xdr:to>
      <xdr:col>5</xdr:col>
      <xdr:colOff>685582</xdr:colOff>
      <xdr:row>93</xdr:row>
      <xdr:rowOff>325213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8CD10713-FFC7-4A88-B3DB-A5DAF82C40EE}"/>
            </a:ext>
          </a:extLst>
        </xdr:cNvPr>
        <xdr:cNvSpPr/>
      </xdr:nvSpPr>
      <xdr:spPr>
        <a:xfrm>
          <a:off x="3478349" y="22803578"/>
          <a:ext cx="179033" cy="2330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533853</xdr:colOff>
      <xdr:row>47</xdr:row>
      <xdr:rowOff>99333</xdr:rowOff>
    </xdr:from>
    <xdr:to>
      <xdr:col>3</xdr:col>
      <xdr:colOff>787180</xdr:colOff>
      <xdr:row>47</xdr:row>
      <xdr:rowOff>363102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DF8BBA61-C557-4233-BA96-05D474FDE315}"/>
            </a:ext>
          </a:extLst>
        </xdr:cNvPr>
        <xdr:cNvSpPr/>
      </xdr:nvSpPr>
      <xdr:spPr>
        <a:xfrm>
          <a:off x="2362653" y="9041403"/>
          <a:ext cx="72352" cy="8850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47</xdr:row>
      <xdr:rowOff>97974</xdr:rowOff>
    </xdr:from>
    <xdr:to>
      <xdr:col>6</xdr:col>
      <xdr:colOff>794439</xdr:colOff>
      <xdr:row>47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DE2BF126-F513-4C1E-AF81-14BAE3987C8A}"/>
            </a:ext>
          </a:extLst>
        </xdr:cNvPr>
        <xdr:cNvSpPr/>
      </xdr:nvSpPr>
      <xdr:spPr>
        <a:xfrm>
          <a:off x="4196806" y="9040044"/>
          <a:ext cx="74258" cy="882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9525</xdr:rowOff>
    </xdr:from>
    <xdr:to>
      <xdr:col>8</xdr:col>
      <xdr:colOff>238125</xdr:colOff>
      <xdr:row>30</xdr:row>
      <xdr:rowOff>85725</xdr:rowOff>
    </xdr:to>
    <xdr:graphicFrame macro="">
      <xdr:nvGraphicFramePr>
        <xdr:cNvPr id="101505" name="แผนภูมิ 1">
          <a:extLst>
            <a:ext uri="{FF2B5EF4-FFF2-40B4-BE49-F238E27FC236}">
              <a16:creationId xmlns:a16="http://schemas.microsoft.com/office/drawing/2014/main" id="{31B92253-8831-93B8-18D8-F71D51CA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101506" name="แผนภูมิ 2">
          <a:extLst>
            <a:ext uri="{FF2B5EF4-FFF2-40B4-BE49-F238E27FC236}">
              <a16:creationId xmlns:a16="http://schemas.microsoft.com/office/drawing/2014/main" id="{D43D7D1C-6A85-2C14-B297-592D3CE3D9EA}"/>
            </a:ext>
            <a:ext uri="{147F2762-F138-4A5C-976F-8EAC2B608ADB}">
              <a16:predDERef xmlns:a16="http://schemas.microsoft.com/office/drawing/2014/main" pred="{31B92253-8831-93B8-18D8-F71D51CA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101507" name="แผนภูมิ 3">
          <a:extLst>
            <a:ext uri="{FF2B5EF4-FFF2-40B4-BE49-F238E27FC236}">
              <a16:creationId xmlns:a16="http://schemas.microsoft.com/office/drawing/2014/main" id="{5C161943-2CFF-E31A-0E07-89D142DF76B6}"/>
            </a:ext>
            <a:ext uri="{147F2762-F138-4A5C-976F-8EAC2B608ADB}">
              <a16:predDERef xmlns:a16="http://schemas.microsoft.com/office/drawing/2014/main" pred="{D43D7D1C-6A85-2C14-B297-592D3CE3D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101508" name="แผนภูมิ 4">
          <a:extLst>
            <a:ext uri="{FF2B5EF4-FFF2-40B4-BE49-F238E27FC236}">
              <a16:creationId xmlns:a16="http://schemas.microsoft.com/office/drawing/2014/main" id="{1386E314-C66D-3B45-0C2A-2E0C6157A450}"/>
            </a:ext>
            <a:ext uri="{147F2762-F138-4A5C-976F-8EAC2B608ADB}">
              <a16:predDERef xmlns:a16="http://schemas.microsoft.com/office/drawing/2014/main" pred="{5C161943-2CFF-E31A-0E07-89D142DF7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10581</xdr:colOff>
      <xdr:row>19</xdr:row>
      <xdr:rowOff>9523</xdr:rowOff>
    </xdr:from>
    <xdr:to>
      <xdr:col>8</xdr:col>
      <xdr:colOff>206373</xdr:colOff>
      <xdr:row>30</xdr:row>
      <xdr:rowOff>84665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5791D378-C4D7-8EA4-9E34-79C7C5FB3FE6}"/>
            </a:ext>
            <a:ext uri="{147F2762-F138-4A5C-976F-8EAC2B608ADB}">
              <a16:predDERef xmlns:a16="http://schemas.microsoft.com/office/drawing/2014/main" pred="{1386E314-C66D-3B45-0C2A-2E0C6157A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58509</xdr:colOff>
      <xdr:row>30</xdr:row>
      <xdr:rowOff>111579</xdr:rowOff>
    </xdr:from>
    <xdr:to>
      <xdr:col>8</xdr:col>
      <xdr:colOff>204107</xdr:colOff>
      <xdr:row>41</xdr:row>
      <xdr:rowOff>102054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F6A53-1384-27C2-359C-2A7F64D26FFD}"/>
            </a:ext>
            <a:ext uri="{147F2762-F138-4A5C-976F-8EAC2B608ADB}">
              <a16:predDERef xmlns:a16="http://schemas.microsoft.com/office/drawing/2014/main" pred="{5791D378-C4D7-8EA4-9E34-79C7C5FB3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258535</xdr:colOff>
      <xdr:row>19</xdr:row>
      <xdr:rowOff>29934</xdr:rowOff>
    </xdr:from>
    <xdr:to>
      <xdr:col>11</xdr:col>
      <xdr:colOff>544285</xdr:colOff>
      <xdr:row>30</xdr:row>
      <xdr:rowOff>108856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89E638F-1422-BA30-4816-89B59BCA16DA}"/>
            </a:ext>
            <a:ext uri="{147F2762-F138-4A5C-976F-8EAC2B608ADB}">
              <a16:predDERef xmlns:a16="http://schemas.microsoft.com/office/drawing/2014/main" pred="{8F6F6A53-1384-27C2-359C-2A7F64D26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258536</xdr:colOff>
      <xdr:row>30</xdr:row>
      <xdr:rowOff>138793</xdr:rowOff>
    </xdr:from>
    <xdr:to>
      <xdr:col>11</xdr:col>
      <xdr:colOff>557892</xdr:colOff>
      <xdr:row>41</xdr:row>
      <xdr:rowOff>95250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766DDFB3-D721-A3D1-B867-8FA66EE4DAA7}"/>
            </a:ext>
            <a:ext uri="{147F2762-F138-4A5C-976F-8EAC2B608ADB}">
              <a16:predDERef xmlns:a16="http://schemas.microsoft.com/office/drawing/2014/main" pred="{089E638F-1422-BA30-4816-89B59BCA1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9525</xdr:rowOff>
    </xdr:from>
    <xdr:to>
      <xdr:col>8</xdr:col>
      <xdr:colOff>238125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23A8D6A9-A4F8-446C-B382-4772C6A5B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F1431417-7A72-4F9A-A098-BC06D2A52796}"/>
            </a:ext>
            <a:ext uri="{147F2762-F138-4A5C-976F-8EAC2B608ADB}">
              <a16:predDERef xmlns:a16="http://schemas.microsoft.com/office/drawing/2014/main" pred="{23A8D6A9-A4F8-446C-B382-4772C6A5B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F984C003-814E-43C3-B182-6360B7D994E1}"/>
            </a:ext>
            <a:ext uri="{147F2762-F138-4A5C-976F-8EAC2B608ADB}">
              <a16:predDERef xmlns:a16="http://schemas.microsoft.com/office/drawing/2014/main" pred="{F1431417-7A72-4F9A-A098-BC06D2A52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6C76CB6B-E15D-4FF5-BB40-B394B81787C5}"/>
            </a:ext>
            <a:ext uri="{147F2762-F138-4A5C-976F-8EAC2B608ADB}">
              <a16:predDERef xmlns:a16="http://schemas.microsoft.com/office/drawing/2014/main" pred="{F984C003-814E-43C3-B182-6360B7D9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10581</xdr:colOff>
      <xdr:row>19</xdr:row>
      <xdr:rowOff>9523</xdr:rowOff>
    </xdr:from>
    <xdr:to>
      <xdr:col>8</xdr:col>
      <xdr:colOff>206373</xdr:colOff>
      <xdr:row>30</xdr:row>
      <xdr:rowOff>84665</xdr:rowOff>
    </xdr:to>
    <xdr:graphicFrame macro="">
      <xdr:nvGraphicFramePr>
        <xdr:cNvPr id="6" name="แผนภูมิ 1">
          <a:extLst>
            <a:ext uri="{FF2B5EF4-FFF2-40B4-BE49-F238E27FC236}">
              <a16:creationId xmlns:a16="http://schemas.microsoft.com/office/drawing/2014/main" id="{19B0336C-70FD-481F-BC87-7AABDFEE6D12}"/>
            </a:ext>
            <a:ext uri="{147F2762-F138-4A5C-976F-8EAC2B608ADB}">
              <a16:predDERef xmlns:a16="http://schemas.microsoft.com/office/drawing/2014/main" pred="{6C76CB6B-E15D-4FF5-BB40-B394B8178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58509</xdr:colOff>
      <xdr:row>30</xdr:row>
      <xdr:rowOff>111579</xdr:rowOff>
    </xdr:from>
    <xdr:to>
      <xdr:col>8</xdr:col>
      <xdr:colOff>204107</xdr:colOff>
      <xdr:row>41</xdr:row>
      <xdr:rowOff>102054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B3AE6F7E-E3D2-4636-80E4-663E0C648EF3}"/>
            </a:ext>
            <a:ext uri="{147F2762-F138-4A5C-976F-8EAC2B608ADB}">
              <a16:predDERef xmlns:a16="http://schemas.microsoft.com/office/drawing/2014/main" pred="{19B0336C-70FD-481F-BC87-7AABDFEE6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258535</xdr:colOff>
      <xdr:row>19</xdr:row>
      <xdr:rowOff>29934</xdr:rowOff>
    </xdr:from>
    <xdr:to>
      <xdr:col>11</xdr:col>
      <xdr:colOff>544285</xdr:colOff>
      <xdr:row>30</xdr:row>
      <xdr:rowOff>108856</xdr:rowOff>
    </xdr:to>
    <xdr:graphicFrame macro="">
      <xdr:nvGraphicFramePr>
        <xdr:cNvPr id="8" name="แผนภูมิ 3">
          <a:extLst>
            <a:ext uri="{FF2B5EF4-FFF2-40B4-BE49-F238E27FC236}">
              <a16:creationId xmlns:a16="http://schemas.microsoft.com/office/drawing/2014/main" id="{FE1F4170-E477-4B36-88EB-6CB47B078158}"/>
            </a:ext>
            <a:ext uri="{147F2762-F138-4A5C-976F-8EAC2B608ADB}">
              <a16:predDERef xmlns:a16="http://schemas.microsoft.com/office/drawing/2014/main" pred="{B3AE6F7E-E3D2-4636-80E4-663E0C648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258536</xdr:colOff>
      <xdr:row>30</xdr:row>
      <xdr:rowOff>138793</xdr:rowOff>
    </xdr:from>
    <xdr:to>
      <xdr:col>11</xdr:col>
      <xdr:colOff>557892</xdr:colOff>
      <xdr:row>41</xdr:row>
      <xdr:rowOff>95250</xdr:rowOff>
    </xdr:to>
    <xdr:graphicFrame macro="">
      <xdr:nvGraphicFramePr>
        <xdr:cNvPr id="9" name="แผนภูมิ 4">
          <a:extLst>
            <a:ext uri="{FF2B5EF4-FFF2-40B4-BE49-F238E27FC236}">
              <a16:creationId xmlns:a16="http://schemas.microsoft.com/office/drawing/2014/main" id="{C74F3D29-E8F5-4741-B868-6A8D27873EAD}"/>
            </a:ext>
            <a:ext uri="{147F2762-F138-4A5C-976F-8EAC2B608ADB}">
              <a16:predDERef xmlns:a16="http://schemas.microsoft.com/office/drawing/2014/main" pred="{FE1F4170-E477-4B36-88EB-6CB47B078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7BCF85-3E01-4D62-8AD5-4B09CAFB4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B4B8835F-BF68-4557-9B64-D08C8363C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1">
          <a:extLst>
            <a:ext uri="{FF2B5EF4-FFF2-40B4-BE49-F238E27FC236}">
              <a16:creationId xmlns:a16="http://schemas.microsoft.com/office/drawing/2014/main" id="{5321E947-85C2-4B00-BE86-E9ADB7C2D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2">
          <a:extLst>
            <a:ext uri="{FF2B5EF4-FFF2-40B4-BE49-F238E27FC236}">
              <a16:creationId xmlns:a16="http://schemas.microsoft.com/office/drawing/2014/main" id="{132E25E1-61A1-4A2F-9FD2-B143134D6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597354</xdr:colOff>
      <xdr:row>49</xdr:row>
      <xdr:rowOff>63048</xdr:rowOff>
    </xdr:from>
    <xdr:to>
      <xdr:col>3</xdr:col>
      <xdr:colOff>19480</xdr:colOff>
      <xdr:row>49</xdr:row>
      <xdr:rowOff>326817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8D349321-81C6-46E9-A283-D807E026F072}"/>
            </a:ext>
          </a:extLst>
        </xdr:cNvPr>
        <xdr:cNvSpPr/>
      </xdr:nvSpPr>
      <xdr:spPr>
        <a:xfrm>
          <a:off x="2092779" y="14908713"/>
          <a:ext cx="262231" cy="2656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49</xdr:row>
      <xdr:rowOff>61688</xdr:rowOff>
    </xdr:from>
    <xdr:to>
      <xdr:col>5</xdr:col>
      <xdr:colOff>685582</xdr:colOff>
      <xdr:row>49</xdr:row>
      <xdr:rowOff>315688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E2A8FFDD-327A-44A6-A3F3-C7C4EEF15732}"/>
            </a:ext>
          </a:extLst>
        </xdr:cNvPr>
        <xdr:cNvSpPr/>
      </xdr:nvSpPr>
      <xdr:spPr>
        <a:xfrm>
          <a:off x="4438469" y="14909258"/>
          <a:ext cx="255233" cy="24828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53</xdr:row>
      <xdr:rowOff>72573</xdr:rowOff>
    </xdr:from>
    <xdr:to>
      <xdr:col>2</xdr:col>
      <xdr:colOff>824158</xdr:colOff>
      <xdr:row>53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2134E8C7-2874-4530-9E28-0A87D9047CC7}"/>
            </a:ext>
          </a:extLst>
        </xdr:cNvPr>
        <xdr:cNvSpPr/>
      </xdr:nvSpPr>
      <xdr:spPr>
        <a:xfrm>
          <a:off x="2056040" y="1719471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53</xdr:row>
      <xdr:rowOff>71213</xdr:rowOff>
    </xdr:from>
    <xdr:to>
      <xdr:col>5</xdr:col>
      <xdr:colOff>685582</xdr:colOff>
      <xdr:row>53</xdr:row>
      <xdr:rowOff>325213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B0204E02-144D-487F-A241-9F1A75A2E65A}"/>
            </a:ext>
          </a:extLst>
        </xdr:cNvPr>
        <xdr:cNvSpPr/>
      </xdr:nvSpPr>
      <xdr:spPr>
        <a:xfrm>
          <a:off x="4438469" y="17195258"/>
          <a:ext cx="255233" cy="2559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57</xdr:row>
      <xdr:rowOff>63048</xdr:rowOff>
    </xdr:from>
    <xdr:to>
      <xdr:col>2</xdr:col>
      <xdr:colOff>824158</xdr:colOff>
      <xdr:row>57</xdr:row>
      <xdr:rowOff>326817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21B20786-A6B0-4791-A9C4-CA2AC0646C16}"/>
            </a:ext>
          </a:extLst>
        </xdr:cNvPr>
        <xdr:cNvSpPr/>
      </xdr:nvSpPr>
      <xdr:spPr>
        <a:xfrm>
          <a:off x="2056040" y="19465473"/>
          <a:ext cx="263543" cy="2656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57</xdr:row>
      <xdr:rowOff>61688</xdr:rowOff>
    </xdr:from>
    <xdr:to>
      <xdr:col>5</xdr:col>
      <xdr:colOff>685582</xdr:colOff>
      <xdr:row>57</xdr:row>
      <xdr:rowOff>315688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3A8E077C-C569-425F-9C35-76F4AEFA4E1A}"/>
            </a:ext>
          </a:extLst>
        </xdr:cNvPr>
        <xdr:cNvSpPr/>
      </xdr:nvSpPr>
      <xdr:spPr>
        <a:xfrm>
          <a:off x="4438469" y="19466018"/>
          <a:ext cx="255233" cy="24828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61</xdr:row>
      <xdr:rowOff>72573</xdr:rowOff>
    </xdr:from>
    <xdr:to>
      <xdr:col>2</xdr:col>
      <xdr:colOff>824158</xdr:colOff>
      <xdr:row>61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550E7FB3-3344-4F65-9110-99F73DC2682A}"/>
            </a:ext>
          </a:extLst>
        </xdr:cNvPr>
        <xdr:cNvSpPr/>
      </xdr:nvSpPr>
      <xdr:spPr>
        <a:xfrm>
          <a:off x="2056040" y="2175147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61</xdr:row>
      <xdr:rowOff>71213</xdr:rowOff>
    </xdr:from>
    <xdr:to>
      <xdr:col>5</xdr:col>
      <xdr:colOff>685582</xdr:colOff>
      <xdr:row>61</xdr:row>
      <xdr:rowOff>325213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ADA86A7D-67DB-4615-B6CB-877C7EB46A19}"/>
            </a:ext>
          </a:extLst>
        </xdr:cNvPr>
        <xdr:cNvSpPr/>
      </xdr:nvSpPr>
      <xdr:spPr>
        <a:xfrm>
          <a:off x="4438469" y="21752018"/>
          <a:ext cx="255233" cy="2559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65</xdr:row>
      <xdr:rowOff>72573</xdr:rowOff>
    </xdr:from>
    <xdr:to>
      <xdr:col>2</xdr:col>
      <xdr:colOff>824158</xdr:colOff>
      <xdr:row>65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9A0A0FC3-6FEC-4594-AE34-4F97B4BF1D8F}"/>
            </a:ext>
          </a:extLst>
        </xdr:cNvPr>
        <xdr:cNvSpPr/>
      </xdr:nvSpPr>
      <xdr:spPr>
        <a:xfrm>
          <a:off x="2056040" y="2402985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65</xdr:row>
      <xdr:rowOff>61688</xdr:rowOff>
    </xdr:from>
    <xdr:to>
      <xdr:col>5</xdr:col>
      <xdr:colOff>685582</xdr:colOff>
      <xdr:row>65</xdr:row>
      <xdr:rowOff>325457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82B11A81-DF98-4F2F-84FF-9BCB44209C5C}"/>
            </a:ext>
          </a:extLst>
        </xdr:cNvPr>
        <xdr:cNvSpPr/>
      </xdr:nvSpPr>
      <xdr:spPr>
        <a:xfrm>
          <a:off x="4438469" y="24022778"/>
          <a:ext cx="25523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69</xdr:row>
      <xdr:rowOff>63048</xdr:rowOff>
    </xdr:from>
    <xdr:to>
      <xdr:col>2</xdr:col>
      <xdr:colOff>824158</xdr:colOff>
      <xdr:row>69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8A23347C-4BDF-4D0D-942C-9CD4F8176DFA}"/>
            </a:ext>
          </a:extLst>
        </xdr:cNvPr>
        <xdr:cNvSpPr/>
      </xdr:nvSpPr>
      <xdr:spPr>
        <a:xfrm>
          <a:off x="2056040" y="26300613"/>
          <a:ext cx="263543" cy="2656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69</xdr:row>
      <xdr:rowOff>61688</xdr:rowOff>
    </xdr:from>
    <xdr:to>
      <xdr:col>5</xdr:col>
      <xdr:colOff>685582</xdr:colOff>
      <xdr:row>69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26A79B3B-B1A9-4938-BBCF-1A95186F5DF1}"/>
            </a:ext>
          </a:extLst>
        </xdr:cNvPr>
        <xdr:cNvSpPr/>
      </xdr:nvSpPr>
      <xdr:spPr>
        <a:xfrm>
          <a:off x="4438469" y="26301158"/>
          <a:ext cx="255233" cy="24828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73</xdr:row>
      <xdr:rowOff>72573</xdr:rowOff>
    </xdr:from>
    <xdr:to>
      <xdr:col>2</xdr:col>
      <xdr:colOff>824158</xdr:colOff>
      <xdr:row>73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9BD0097-6F05-4C70-935D-E294B04E3E8E}"/>
            </a:ext>
          </a:extLst>
        </xdr:cNvPr>
        <xdr:cNvSpPr/>
      </xdr:nvSpPr>
      <xdr:spPr>
        <a:xfrm>
          <a:off x="2056040" y="2858661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73</xdr:row>
      <xdr:rowOff>71213</xdr:rowOff>
    </xdr:from>
    <xdr:to>
      <xdr:col>5</xdr:col>
      <xdr:colOff>685582</xdr:colOff>
      <xdr:row>73</xdr:row>
      <xdr:rowOff>325213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1F18B34A-2D48-4E41-9334-68B0AD3CDA2F}"/>
            </a:ext>
          </a:extLst>
        </xdr:cNvPr>
        <xdr:cNvSpPr/>
      </xdr:nvSpPr>
      <xdr:spPr>
        <a:xfrm>
          <a:off x="4438469" y="28587158"/>
          <a:ext cx="255233" cy="2559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77</xdr:row>
      <xdr:rowOff>72573</xdr:rowOff>
    </xdr:from>
    <xdr:to>
      <xdr:col>2</xdr:col>
      <xdr:colOff>824158</xdr:colOff>
      <xdr:row>77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2F0388A7-075B-4BB9-B289-F63840B9BCC3}"/>
            </a:ext>
          </a:extLst>
        </xdr:cNvPr>
        <xdr:cNvSpPr/>
      </xdr:nvSpPr>
      <xdr:spPr>
        <a:xfrm>
          <a:off x="2056040" y="3047637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77</xdr:row>
      <xdr:rowOff>71213</xdr:rowOff>
    </xdr:from>
    <xdr:to>
      <xdr:col>5</xdr:col>
      <xdr:colOff>685582</xdr:colOff>
      <xdr:row>77</xdr:row>
      <xdr:rowOff>325213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7B98A61F-E163-404C-8D4C-EE70E92C9CCC}"/>
            </a:ext>
          </a:extLst>
        </xdr:cNvPr>
        <xdr:cNvSpPr/>
      </xdr:nvSpPr>
      <xdr:spPr>
        <a:xfrm>
          <a:off x="4438469" y="30476918"/>
          <a:ext cx="255233" cy="2559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81</xdr:row>
      <xdr:rowOff>72573</xdr:rowOff>
    </xdr:from>
    <xdr:to>
      <xdr:col>2</xdr:col>
      <xdr:colOff>824158</xdr:colOff>
      <xdr:row>81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D7DD6486-DF6A-465F-8DFA-9DF96705A463}"/>
            </a:ext>
          </a:extLst>
        </xdr:cNvPr>
        <xdr:cNvSpPr/>
      </xdr:nvSpPr>
      <xdr:spPr>
        <a:xfrm>
          <a:off x="2056040" y="3236613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81</xdr:row>
      <xdr:rowOff>61688</xdr:rowOff>
    </xdr:from>
    <xdr:to>
      <xdr:col>5</xdr:col>
      <xdr:colOff>685582</xdr:colOff>
      <xdr:row>81</xdr:row>
      <xdr:rowOff>325457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FAA5EED8-5486-40EA-8C58-B0A54DCCA346}"/>
            </a:ext>
          </a:extLst>
        </xdr:cNvPr>
        <xdr:cNvSpPr/>
      </xdr:nvSpPr>
      <xdr:spPr>
        <a:xfrm>
          <a:off x="4438469" y="32359058"/>
          <a:ext cx="25523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85</xdr:row>
      <xdr:rowOff>63048</xdr:rowOff>
    </xdr:from>
    <xdr:to>
      <xdr:col>2</xdr:col>
      <xdr:colOff>824158</xdr:colOff>
      <xdr:row>85</xdr:row>
      <xdr:rowOff>326817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6FB359E2-CF91-4CC8-97D7-CFC8C9ACD2F7}"/>
            </a:ext>
          </a:extLst>
        </xdr:cNvPr>
        <xdr:cNvSpPr/>
      </xdr:nvSpPr>
      <xdr:spPr>
        <a:xfrm>
          <a:off x="2056040" y="34248273"/>
          <a:ext cx="263543" cy="2656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85</xdr:row>
      <xdr:rowOff>61688</xdr:rowOff>
    </xdr:from>
    <xdr:to>
      <xdr:col>5</xdr:col>
      <xdr:colOff>685582</xdr:colOff>
      <xdr:row>85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71F1A227-0A54-4669-A7B9-C608BFAA4C72}"/>
            </a:ext>
          </a:extLst>
        </xdr:cNvPr>
        <xdr:cNvSpPr/>
      </xdr:nvSpPr>
      <xdr:spPr>
        <a:xfrm>
          <a:off x="4438469" y="34248818"/>
          <a:ext cx="255233" cy="24828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89</xdr:row>
      <xdr:rowOff>63048</xdr:rowOff>
    </xdr:from>
    <xdr:to>
      <xdr:col>2</xdr:col>
      <xdr:colOff>824158</xdr:colOff>
      <xdr:row>89</xdr:row>
      <xdr:rowOff>326817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B8826B34-F932-4F66-9C53-EEC1E456C8CC}"/>
            </a:ext>
          </a:extLst>
        </xdr:cNvPr>
        <xdr:cNvSpPr/>
      </xdr:nvSpPr>
      <xdr:spPr>
        <a:xfrm>
          <a:off x="2056040" y="36138033"/>
          <a:ext cx="263543" cy="2656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89</xdr:row>
      <xdr:rowOff>61688</xdr:rowOff>
    </xdr:from>
    <xdr:to>
      <xdr:col>5</xdr:col>
      <xdr:colOff>685582</xdr:colOff>
      <xdr:row>89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6F004154-5275-4803-AADB-D47D226B5E09}"/>
            </a:ext>
          </a:extLst>
        </xdr:cNvPr>
        <xdr:cNvSpPr/>
      </xdr:nvSpPr>
      <xdr:spPr>
        <a:xfrm>
          <a:off x="4438469" y="36138578"/>
          <a:ext cx="255233" cy="24828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93</xdr:row>
      <xdr:rowOff>72573</xdr:rowOff>
    </xdr:from>
    <xdr:to>
      <xdr:col>2</xdr:col>
      <xdr:colOff>824158</xdr:colOff>
      <xdr:row>93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AB3AF6E1-CA81-40CC-9CC3-B98610D410F0}"/>
            </a:ext>
          </a:extLst>
        </xdr:cNvPr>
        <xdr:cNvSpPr/>
      </xdr:nvSpPr>
      <xdr:spPr>
        <a:xfrm>
          <a:off x="2056040" y="38035413"/>
          <a:ext cx="263543" cy="2578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93</xdr:row>
      <xdr:rowOff>71213</xdr:rowOff>
    </xdr:from>
    <xdr:to>
      <xdr:col>5</xdr:col>
      <xdr:colOff>685582</xdr:colOff>
      <xdr:row>93</xdr:row>
      <xdr:rowOff>325213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EF17B1DB-4378-4D79-8F0D-28FEFDD6FFD2}"/>
            </a:ext>
          </a:extLst>
        </xdr:cNvPr>
        <xdr:cNvSpPr/>
      </xdr:nvSpPr>
      <xdr:spPr>
        <a:xfrm>
          <a:off x="4438469" y="38035958"/>
          <a:ext cx="255233" cy="2559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533853</xdr:colOff>
      <xdr:row>47</xdr:row>
      <xdr:rowOff>99333</xdr:rowOff>
    </xdr:from>
    <xdr:to>
      <xdr:col>3</xdr:col>
      <xdr:colOff>787180</xdr:colOff>
      <xdr:row>47</xdr:row>
      <xdr:rowOff>363102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F6F21A61-C5B4-4D04-BDA1-7304158E366D}"/>
            </a:ext>
          </a:extLst>
        </xdr:cNvPr>
        <xdr:cNvSpPr/>
      </xdr:nvSpPr>
      <xdr:spPr>
        <a:xfrm>
          <a:off x="2865573" y="13925823"/>
          <a:ext cx="255232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47</xdr:row>
      <xdr:rowOff>97974</xdr:rowOff>
    </xdr:from>
    <xdr:to>
      <xdr:col>6</xdr:col>
      <xdr:colOff>794439</xdr:colOff>
      <xdr:row>47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5A81700-8580-44A2-9158-15CB864AA96A}"/>
            </a:ext>
          </a:extLst>
        </xdr:cNvPr>
        <xdr:cNvSpPr/>
      </xdr:nvSpPr>
      <xdr:spPr>
        <a:xfrm>
          <a:off x="5271226" y="13924464"/>
          <a:ext cx="257138" cy="24828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Relationship Id="rId1" Type="http://schemas.openxmlformats.org/officeDocument/2006/relationships/externalLinkPath" Target="/personal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ไฟฟ้า"/>
      <sheetName val="น้ำมันเชื้อเพลิง"/>
      <sheetName val="น้ำ"/>
      <sheetName val="น้ำมันเชื้อเพลิง แยกทะเบียนรถ"/>
    </sheetNames>
    <sheetDataSet>
      <sheetData sheetId="0" refreshError="1"/>
      <sheetData sheetId="1" refreshError="1"/>
      <sheetData sheetId="2">
        <row r="4">
          <cell r="C4" t="str">
            <v xml:space="preserve"> (หน่วย) ปี2566</v>
          </cell>
          <cell r="E4" t="str">
            <v>(หน่วย/คน) ปี2566</v>
          </cell>
          <cell r="G4" t="str">
            <v>(หน่วย) ปี 2567</v>
          </cell>
          <cell r="I4" t="str">
            <v>(หน่วย/คน)ปี 2567</v>
          </cell>
        </row>
        <row r="5">
          <cell r="A5" t="str">
            <v>ม.ค.</v>
          </cell>
          <cell r="C5">
            <v>422</v>
          </cell>
          <cell r="E5">
            <v>4.4893617021276597</v>
          </cell>
          <cell r="G5">
            <v>291</v>
          </cell>
          <cell r="I5">
            <v>3.0957446808510638</v>
          </cell>
        </row>
        <row r="6">
          <cell r="A6" t="str">
            <v>ก.พ.</v>
          </cell>
          <cell r="C6">
            <v>396</v>
          </cell>
          <cell r="E6">
            <v>4.2127659574468082</v>
          </cell>
          <cell r="G6">
            <v>467.3</v>
          </cell>
          <cell r="I6">
            <v>4.9712765957446807</v>
          </cell>
        </row>
        <row r="7">
          <cell r="A7" t="str">
            <v>มี.ค.</v>
          </cell>
          <cell r="C7">
            <v>776</v>
          </cell>
          <cell r="E7">
            <v>8.2553191489361701</v>
          </cell>
          <cell r="G7">
            <v>507.6</v>
          </cell>
          <cell r="I7">
            <v>5.4</v>
          </cell>
        </row>
        <row r="8">
          <cell r="A8" t="str">
            <v>เม.ย.</v>
          </cell>
          <cell r="C8">
            <v>548</v>
          </cell>
          <cell r="E8">
            <v>5.8297872340425529</v>
          </cell>
          <cell r="G8">
            <v>452.3</v>
          </cell>
          <cell r="I8">
            <v>4.8117021276595748</v>
          </cell>
        </row>
        <row r="9">
          <cell r="A9" t="str">
            <v>พ.ค.</v>
          </cell>
          <cell r="C9">
            <v>411</v>
          </cell>
          <cell r="E9">
            <v>4.3723404255319149</v>
          </cell>
          <cell r="G9">
            <v>408.7</v>
          </cell>
          <cell r="I9">
            <v>4.3478723404255319</v>
          </cell>
        </row>
        <row r="10">
          <cell r="A10" t="str">
            <v>มิ.ย.</v>
          </cell>
          <cell r="C10">
            <v>334</v>
          </cell>
          <cell r="E10">
            <v>3.5531914893617023</v>
          </cell>
          <cell r="G10">
            <v>0</v>
          </cell>
          <cell r="I10">
            <v>0</v>
          </cell>
        </row>
        <row r="11">
          <cell r="A11" t="str">
            <v>ก.ค.</v>
          </cell>
          <cell r="C11">
            <v>519</v>
          </cell>
          <cell r="E11">
            <v>5.5212765957446805</v>
          </cell>
          <cell r="G11">
            <v>0</v>
          </cell>
          <cell r="I11">
            <v>0</v>
          </cell>
        </row>
        <row r="12">
          <cell r="A12" t="str">
            <v>ส.ค.</v>
          </cell>
          <cell r="C12">
            <v>505</v>
          </cell>
          <cell r="E12">
            <v>5.3723404255319149</v>
          </cell>
          <cell r="G12">
            <v>0</v>
          </cell>
          <cell r="I12">
            <v>0</v>
          </cell>
        </row>
        <row r="13">
          <cell r="A13" t="str">
            <v>ก.ย.</v>
          </cell>
          <cell r="C13">
            <v>379</v>
          </cell>
          <cell r="E13">
            <v>4.0319148936170217</v>
          </cell>
          <cell r="G13">
            <v>0</v>
          </cell>
          <cell r="I13">
            <v>0</v>
          </cell>
        </row>
        <row r="14">
          <cell r="A14" t="str">
            <v>ต.ค.</v>
          </cell>
          <cell r="C14">
            <v>412</v>
          </cell>
          <cell r="E14">
            <v>4.3829787234042552</v>
          </cell>
          <cell r="G14">
            <v>0</v>
          </cell>
          <cell r="I14">
            <v>0</v>
          </cell>
        </row>
        <row r="15">
          <cell r="A15" t="str">
            <v>พ.ย.</v>
          </cell>
          <cell r="C15">
            <v>472</v>
          </cell>
          <cell r="E15">
            <v>5.0212765957446805</v>
          </cell>
          <cell r="G15">
            <v>0</v>
          </cell>
          <cell r="I15">
            <v>0</v>
          </cell>
        </row>
        <row r="16">
          <cell r="A16" t="str">
            <v>ธ.ค.</v>
          </cell>
          <cell r="C16">
            <v>349</v>
          </cell>
          <cell r="E16">
            <v>3.7127659574468086</v>
          </cell>
          <cell r="G16">
            <v>0</v>
          </cell>
          <cell r="I16">
            <v>0</v>
          </cell>
        </row>
        <row r="17">
          <cell r="A17" t="str">
            <v>เฉลี่ย</v>
          </cell>
          <cell r="C17">
            <v>460.25</v>
          </cell>
          <cell r="E17">
            <v>4.8962765957446805</v>
          </cell>
          <cell r="G17">
            <v>177.24166666666667</v>
          </cell>
          <cell r="I17">
            <v>1.8855496453900711</v>
          </cell>
        </row>
        <row r="18">
          <cell r="C18">
            <v>5523</v>
          </cell>
          <cell r="E18">
            <v>58.755319148936167</v>
          </cell>
          <cell r="G18">
            <v>2126.9</v>
          </cell>
          <cell r="I18">
            <v>22.626595744680852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EF22-D638-40CB-B385-B3005BC3D13B}">
  <dimension ref="A1:T99"/>
  <sheetViews>
    <sheetView view="pageBreakPreview" zoomScaleNormal="70" zoomScaleSheetLayoutView="100" workbookViewId="0">
      <selection activeCell="P10" sqref="P10"/>
    </sheetView>
  </sheetViews>
  <sheetFormatPr defaultRowHeight="21.75" customHeight="1"/>
  <cols>
    <col min="1" max="1" width="11" style="47" customWidth="1"/>
    <col min="2" max="2" width="11.42578125" style="46" customWidth="1"/>
    <col min="3" max="5" width="12.5703125" style="46" customWidth="1"/>
    <col min="6" max="6" width="10.85546875" style="46" customWidth="1"/>
    <col min="7" max="9" width="12.5703125" style="46" customWidth="1"/>
    <col min="10" max="10" width="13" style="46" customWidth="1"/>
    <col min="11" max="11" width="15.85546875" style="46" customWidth="1"/>
    <col min="12" max="16384" width="9.140625" style="46"/>
  </cols>
  <sheetData>
    <row r="1" spans="1:12" ht="21.75" customHeight="1">
      <c r="A1" s="66"/>
      <c r="B1" s="73"/>
      <c r="C1" s="73"/>
      <c r="D1" s="73"/>
      <c r="E1" s="73"/>
      <c r="F1" s="73"/>
      <c r="G1" s="73"/>
      <c r="H1" s="73"/>
      <c r="I1" s="73"/>
      <c r="K1" s="74" t="s">
        <v>0</v>
      </c>
      <c r="L1" s="73"/>
    </row>
    <row r="2" spans="1:12" ht="23.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73"/>
    </row>
    <row r="3" spans="1:12" s="71" customFormat="1" ht="21.6" customHeight="1">
      <c r="A3" s="90" t="s">
        <v>2</v>
      </c>
      <c r="B3" s="91" t="s">
        <v>3</v>
      </c>
      <c r="C3" s="91"/>
      <c r="D3" s="91"/>
      <c r="E3" s="91"/>
      <c r="F3" s="91" t="s">
        <v>4</v>
      </c>
      <c r="G3" s="91"/>
      <c r="H3" s="91"/>
      <c r="I3" s="91"/>
      <c r="J3" s="91" t="s">
        <v>5</v>
      </c>
      <c r="K3" s="91"/>
    </row>
    <row r="4" spans="1:12" s="71" customFormat="1" ht="45.95" customHeight="1">
      <c r="A4" s="90"/>
      <c r="B4" s="72" t="s">
        <v>6</v>
      </c>
      <c r="C4" s="72" t="s">
        <v>7</v>
      </c>
      <c r="D4" s="72" t="s">
        <v>8</v>
      </c>
      <c r="E4" s="72" t="s">
        <v>9</v>
      </c>
      <c r="F4" s="72" t="s">
        <v>6</v>
      </c>
      <c r="G4" s="72" t="s">
        <v>10</v>
      </c>
      <c r="H4" s="72" t="s">
        <v>8</v>
      </c>
      <c r="I4" s="72" t="s">
        <v>11</v>
      </c>
      <c r="J4" s="72" t="s">
        <v>12</v>
      </c>
      <c r="K4" s="72" t="s">
        <v>13</v>
      </c>
    </row>
    <row r="5" spans="1:12" ht="24.95" customHeight="1">
      <c r="A5" s="68" t="s">
        <v>14</v>
      </c>
      <c r="B5" s="70"/>
      <c r="C5" s="70">
        <v>500</v>
      </c>
      <c r="D5" s="67"/>
      <c r="E5" s="67" t="e">
        <f t="shared" ref="E5:E16" si="0">C5/B5</f>
        <v>#DIV/0!</v>
      </c>
      <c r="F5" s="69"/>
      <c r="G5" s="69"/>
      <c r="H5" s="67"/>
      <c r="I5" s="67" t="e">
        <f t="shared" ref="I5:I17" si="1">G5/F5</f>
        <v>#DIV/0!</v>
      </c>
      <c r="J5" s="19">
        <f t="shared" ref="J5:J18" si="2">(G5-C5)/C5</f>
        <v>-1</v>
      </c>
      <c r="K5" s="20" t="e">
        <f t="shared" ref="K5:K18" si="3">(I5-E5)/E5</f>
        <v>#DIV/0!</v>
      </c>
    </row>
    <row r="6" spans="1:12" ht="24.95" customHeight="1">
      <c r="A6" s="68" t="s">
        <v>15</v>
      </c>
      <c r="B6" s="70"/>
      <c r="C6" s="70"/>
      <c r="D6" s="67"/>
      <c r="E6" s="67" t="e">
        <f t="shared" si="0"/>
        <v>#DIV/0!</v>
      </c>
      <c r="F6" s="69"/>
      <c r="G6" s="69"/>
      <c r="H6" s="67"/>
      <c r="I6" s="67" t="e">
        <f t="shared" si="1"/>
        <v>#DIV/0!</v>
      </c>
      <c r="J6" s="19" t="e">
        <f t="shared" si="2"/>
        <v>#DIV/0!</v>
      </c>
      <c r="K6" s="20" t="e">
        <f t="shared" si="3"/>
        <v>#DIV/0!</v>
      </c>
    </row>
    <row r="7" spans="1:12" ht="24.95" customHeight="1">
      <c r="A7" s="68" t="s">
        <v>16</v>
      </c>
      <c r="B7" s="70"/>
      <c r="C7" s="70"/>
      <c r="D7" s="67"/>
      <c r="E7" s="67" t="e">
        <f t="shared" si="0"/>
        <v>#DIV/0!</v>
      </c>
      <c r="F7" s="69"/>
      <c r="G7" s="69"/>
      <c r="H7" s="67"/>
      <c r="I7" s="67" t="e">
        <f t="shared" si="1"/>
        <v>#DIV/0!</v>
      </c>
      <c r="J7" s="19" t="e">
        <f t="shared" si="2"/>
        <v>#DIV/0!</v>
      </c>
      <c r="K7" s="20" t="e">
        <f t="shared" si="3"/>
        <v>#DIV/0!</v>
      </c>
    </row>
    <row r="8" spans="1:12" ht="24.95" customHeight="1">
      <c r="A8" s="68" t="s">
        <v>17</v>
      </c>
      <c r="B8" s="70"/>
      <c r="C8" s="70"/>
      <c r="D8" s="67"/>
      <c r="E8" s="67" t="e">
        <f t="shared" si="0"/>
        <v>#DIV/0!</v>
      </c>
      <c r="F8" s="69"/>
      <c r="G8" s="69"/>
      <c r="H8" s="67"/>
      <c r="I8" s="67" t="e">
        <f t="shared" si="1"/>
        <v>#DIV/0!</v>
      </c>
      <c r="J8" s="19" t="e">
        <f t="shared" si="2"/>
        <v>#DIV/0!</v>
      </c>
      <c r="K8" s="20" t="e">
        <f t="shared" si="3"/>
        <v>#DIV/0!</v>
      </c>
    </row>
    <row r="9" spans="1:12" ht="24.95" customHeight="1">
      <c r="A9" s="68" t="s">
        <v>18</v>
      </c>
      <c r="B9" s="70"/>
      <c r="C9" s="70"/>
      <c r="D9" s="67"/>
      <c r="E9" s="67" t="e">
        <f t="shared" si="0"/>
        <v>#DIV/0!</v>
      </c>
      <c r="F9" s="69"/>
      <c r="G9" s="69"/>
      <c r="H9" s="67"/>
      <c r="I9" s="67" t="e">
        <f t="shared" si="1"/>
        <v>#DIV/0!</v>
      </c>
      <c r="J9" s="19" t="e">
        <f t="shared" si="2"/>
        <v>#DIV/0!</v>
      </c>
      <c r="K9" s="20" t="e">
        <f t="shared" si="3"/>
        <v>#DIV/0!</v>
      </c>
    </row>
    <row r="10" spans="1:12" ht="24.95" customHeight="1">
      <c r="A10" s="68" t="s">
        <v>19</v>
      </c>
      <c r="B10" s="70"/>
      <c r="C10" s="70"/>
      <c r="D10" s="67"/>
      <c r="E10" s="67" t="e">
        <f t="shared" si="0"/>
        <v>#DIV/0!</v>
      </c>
      <c r="F10" s="69"/>
      <c r="G10" s="69"/>
      <c r="H10" s="67"/>
      <c r="I10" s="67" t="e">
        <f t="shared" si="1"/>
        <v>#DIV/0!</v>
      </c>
      <c r="J10" s="19" t="e">
        <f t="shared" si="2"/>
        <v>#DIV/0!</v>
      </c>
      <c r="K10" s="20" t="e">
        <f t="shared" si="3"/>
        <v>#DIV/0!</v>
      </c>
    </row>
    <row r="11" spans="1:12" ht="24.95" customHeight="1">
      <c r="A11" s="68" t="s">
        <v>20</v>
      </c>
      <c r="B11" s="70"/>
      <c r="C11" s="70"/>
      <c r="D11" s="67"/>
      <c r="E11" s="67" t="e">
        <f t="shared" si="0"/>
        <v>#DIV/0!</v>
      </c>
      <c r="F11" s="69"/>
      <c r="G11" s="69"/>
      <c r="H11" s="67"/>
      <c r="I11" s="67" t="e">
        <f t="shared" si="1"/>
        <v>#DIV/0!</v>
      </c>
      <c r="J11" s="19" t="e">
        <f t="shared" si="2"/>
        <v>#DIV/0!</v>
      </c>
      <c r="K11" s="20" t="e">
        <f t="shared" si="3"/>
        <v>#DIV/0!</v>
      </c>
    </row>
    <row r="12" spans="1:12" ht="24.95" customHeight="1">
      <c r="A12" s="68" t="s">
        <v>21</v>
      </c>
      <c r="B12" s="70"/>
      <c r="C12" s="70"/>
      <c r="D12" s="67"/>
      <c r="E12" s="67" t="e">
        <f t="shared" si="0"/>
        <v>#DIV/0!</v>
      </c>
      <c r="F12" s="69"/>
      <c r="G12" s="69"/>
      <c r="H12" s="67"/>
      <c r="I12" s="67" t="e">
        <f t="shared" si="1"/>
        <v>#DIV/0!</v>
      </c>
      <c r="J12" s="19" t="e">
        <f t="shared" si="2"/>
        <v>#DIV/0!</v>
      </c>
      <c r="K12" s="20" t="e">
        <f t="shared" si="3"/>
        <v>#DIV/0!</v>
      </c>
    </row>
    <row r="13" spans="1:12" ht="24.95" customHeight="1">
      <c r="A13" s="68" t="s">
        <v>22</v>
      </c>
      <c r="B13" s="70"/>
      <c r="C13" s="70"/>
      <c r="D13" s="67"/>
      <c r="E13" s="67" t="e">
        <f t="shared" si="0"/>
        <v>#DIV/0!</v>
      </c>
      <c r="F13" s="69"/>
      <c r="G13" s="69"/>
      <c r="H13" s="67"/>
      <c r="I13" s="67" t="e">
        <f t="shared" si="1"/>
        <v>#DIV/0!</v>
      </c>
      <c r="J13" s="19" t="e">
        <f t="shared" si="2"/>
        <v>#DIV/0!</v>
      </c>
      <c r="K13" s="20" t="e">
        <f t="shared" si="3"/>
        <v>#DIV/0!</v>
      </c>
    </row>
    <row r="14" spans="1:12" ht="24.95" customHeight="1">
      <c r="A14" s="68" t="s">
        <v>23</v>
      </c>
      <c r="B14" s="70"/>
      <c r="C14" s="70"/>
      <c r="D14" s="67"/>
      <c r="E14" s="67" t="e">
        <f t="shared" si="0"/>
        <v>#DIV/0!</v>
      </c>
      <c r="F14" s="69"/>
      <c r="G14" s="69"/>
      <c r="H14" s="67"/>
      <c r="I14" s="67" t="e">
        <f t="shared" si="1"/>
        <v>#DIV/0!</v>
      </c>
      <c r="J14" s="19" t="e">
        <f t="shared" si="2"/>
        <v>#DIV/0!</v>
      </c>
      <c r="K14" s="20" t="e">
        <f t="shared" si="3"/>
        <v>#DIV/0!</v>
      </c>
    </row>
    <row r="15" spans="1:12" ht="24.95" customHeight="1">
      <c r="A15" s="68" t="s">
        <v>24</v>
      </c>
      <c r="B15" s="70"/>
      <c r="C15" s="70"/>
      <c r="D15" s="67"/>
      <c r="E15" s="67" t="e">
        <f t="shared" si="0"/>
        <v>#DIV/0!</v>
      </c>
      <c r="F15" s="69"/>
      <c r="G15" s="69"/>
      <c r="H15" s="67"/>
      <c r="I15" s="67" t="e">
        <f t="shared" si="1"/>
        <v>#DIV/0!</v>
      </c>
      <c r="J15" s="19" t="e">
        <f t="shared" si="2"/>
        <v>#DIV/0!</v>
      </c>
      <c r="K15" s="20" t="e">
        <f t="shared" si="3"/>
        <v>#DIV/0!</v>
      </c>
    </row>
    <row r="16" spans="1:12" ht="24.95" customHeight="1">
      <c r="A16" s="68" t="s">
        <v>25</v>
      </c>
      <c r="B16" s="70"/>
      <c r="C16" s="70"/>
      <c r="D16" s="67"/>
      <c r="E16" s="67" t="e">
        <f t="shared" si="0"/>
        <v>#DIV/0!</v>
      </c>
      <c r="F16" s="69"/>
      <c r="G16" s="69"/>
      <c r="H16" s="67"/>
      <c r="I16" s="67" t="e">
        <f t="shared" si="1"/>
        <v>#DIV/0!</v>
      </c>
      <c r="J16" s="19" t="e">
        <f t="shared" si="2"/>
        <v>#DIV/0!</v>
      </c>
      <c r="K16" s="20" t="e">
        <f t="shared" si="3"/>
        <v>#DIV/0!</v>
      </c>
    </row>
    <row r="17" spans="1:11" ht="24.95" customHeight="1">
      <c r="A17" s="68" t="s">
        <v>26</v>
      </c>
      <c r="B17" s="67" t="e">
        <f t="shared" ref="B17:H17" si="4">AVERAGE(B5:B16)</f>
        <v>#DIV/0!</v>
      </c>
      <c r="C17" s="67">
        <f t="shared" si="4"/>
        <v>500</v>
      </c>
      <c r="D17" s="67" t="e">
        <f t="shared" si="4"/>
        <v>#DIV/0!</v>
      </c>
      <c r="E17" s="67" t="e">
        <f t="shared" si="4"/>
        <v>#DIV/0!</v>
      </c>
      <c r="F17" s="67" t="e">
        <f t="shared" si="4"/>
        <v>#DIV/0!</v>
      </c>
      <c r="G17" s="67" t="e">
        <f t="shared" si="4"/>
        <v>#DIV/0!</v>
      </c>
      <c r="H17" s="67" t="e">
        <f t="shared" si="4"/>
        <v>#DIV/0!</v>
      </c>
      <c r="I17" s="67" t="e">
        <f t="shared" si="1"/>
        <v>#DIV/0!</v>
      </c>
      <c r="J17" s="19" t="e">
        <f t="shared" si="2"/>
        <v>#DIV/0!</v>
      </c>
      <c r="K17" s="20" t="e">
        <f t="shared" si="3"/>
        <v>#DIV/0!</v>
      </c>
    </row>
    <row r="18" spans="1:11" ht="24.95" customHeight="1">
      <c r="A18" s="68" t="s">
        <v>27</v>
      </c>
      <c r="B18" s="67">
        <f t="shared" ref="B18:I18" si="5">SUM(B5:B16)</f>
        <v>0</v>
      </c>
      <c r="C18" s="67">
        <f t="shared" si="5"/>
        <v>500</v>
      </c>
      <c r="D18" s="67">
        <f t="shared" si="5"/>
        <v>0</v>
      </c>
      <c r="E18" s="67" t="e">
        <f t="shared" si="5"/>
        <v>#DIV/0!</v>
      </c>
      <c r="F18" s="67">
        <f t="shared" si="5"/>
        <v>0</v>
      </c>
      <c r="G18" s="67">
        <f t="shared" si="5"/>
        <v>0</v>
      </c>
      <c r="H18" s="67">
        <f t="shared" si="5"/>
        <v>0</v>
      </c>
      <c r="I18" s="67" t="e">
        <f t="shared" si="5"/>
        <v>#DIV/0!</v>
      </c>
      <c r="J18" s="19">
        <f t="shared" si="2"/>
        <v>-1</v>
      </c>
      <c r="K18" s="20" t="e">
        <f t="shared" si="3"/>
        <v>#DIV/0!</v>
      </c>
    </row>
    <row r="19" spans="1:11" ht="11.45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3"/>
    </row>
    <row r="20" spans="1:11" ht="21.75" customHeight="1">
      <c r="A20" s="66"/>
      <c r="B20" s="65"/>
      <c r="C20" s="65"/>
      <c r="D20" s="65"/>
      <c r="E20" s="65"/>
      <c r="F20" s="65"/>
      <c r="G20" s="65"/>
      <c r="H20" s="65"/>
      <c r="I20" s="65"/>
      <c r="J20" s="65"/>
      <c r="K20" s="63"/>
    </row>
    <row r="21" spans="1:11" ht="21.75" customHeight="1">
      <c r="A21" s="64"/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40" spans="1:12" ht="21.95" customHeight="1"/>
    <row r="43" spans="1:12" ht="21.75" customHeight="1">
      <c r="A43" s="92" t="s">
        <v>28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1:12" ht="21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</row>
    <row r="45" spans="1:12" ht="21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spans="1:12" ht="21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</row>
    <row r="47" spans="1:12" ht="38.450000000000003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</row>
    <row r="48" spans="1:12" s="60" customFormat="1" ht="38.450000000000003" customHeight="1">
      <c r="A48" s="61"/>
      <c r="B48" s="61"/>
      <c r="D48" s="62"/>
      <c r="E48" s="62" t="s">
        <v>29</v>
      </c>
      <c r="F48" s="62"/>
      <c r="G48" s="62"/>
      <c r="H48" s="62" t="s">
        <v>30</v>
      </c>
      <c r="I48" s="62"/>
      <c r="J48" s="61"/>
      <c r="K48" s="61"/>
      <c r="L48" s="61"/>
    </row>
    <row r="49" spans="1:18" ht="42" customHeight="1">
      <c r="A49" s="93" t="s">
        <v>31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O49" s="59"/>
      <c r="P49" s="57"/>
      <c r="Q49" s="58"/>
      <c r="R49" s="57"/>
    </row>
    <row r="50" spans="1:18" s="49" customFormat="1" ht="30" customHeight="1">
      <c r="A50" s="54" t="s">
        <v>32</v>
      </c>
      <c r="B50" s="54"/>
      <c r="C50" s="54"/>
      <c r="D50" s="54" t="s">
        <v>29</v>
      </c>
      <c r="E50" s="54"/>
      <c r="F50" s="54"/>
      <c r="G50" s="54" t="s">
        <v>30</v>
      </c>
      <c r="H50" s="54"/>
      <c r="I50" s="54"/>
      <c r="J50" s="54"/>
      <c r="K50" s="54"/>
      <c r="L50" s="54"/>
    </row>
    <row r="51" spans="1:18" s="49" customFormat="1" ht="50.1" customHeight="1">
      <c r="A51" s="51" t="s">
        <v>33</v>
      </c>
      <c r="B51" s="51"/>
      <c r="C51" s="56"/>
    </row>
    <row r="52" spans="1:18" s="49" customFormat="1" ht="50.1" customHeight="1">
      <c r="A52" s="94" t="s">
        <v>34</v>
      </c>
      <c r="B52" s="94"/>
      <c r="C52" s="53"/>
      <c r="D52" s="52"/>
    </row>
    <row r="53" spans="1:18" s="49" customFormat="1" ht="50.1" customHeight="1">
      <c r="A53" s="51" t="s">
        <v>35</v>
      </c>
      <c r="B53" s="51"/>
      <c r="C53" s="51"/>
    </row>
    <row r="54" spans="1:18" s="49" customFormat="1" ht="30" customHeight="1">
      <c r="A54" s="54" t="s">
        <v>36</v>
      </c>
      <c r="B54" s="54"/>
      <c r="C54" s="54"/>
      <c r="D54" s="54" t="s">
        <v>29</v>
      </c>
      <c r="E54" s="54"/>
      <c r="F54" s="54"/>
      <c r="G54" s="54" t="s">
        <v>30</v>
      </c>
      <c r="H54" s="54"/>
      <c r="I54" s="54"/>
      <c r="J54" s="54"/>
      <c r="K54" s="54"/>
      <c r="L54" s="54"/>
    </row>
    <row r="55" spans="1:18" s="49" customFormat="1" ht="50.1" customHeight="1">
      <c r="A55" s="51" t="s">
        <v>33</v>
      </c>
      <c r="B55" s="51"/>
      <c r="C55" s="51"/>
      <c r="D55" s="51"/>
    </row>
    <row r="56" spans="1:18" s="49" customFormat="1" ht="50.1" customHeight="1">
      <c r="A56" s="94" t="s">
        <v>34</v>
      </c>
      <c r="B56" s="94"/>
      <c r="C56" s="53"/>
      <c r="D56" s="52"/>
    </row>
    <row r="57" spans="1:18" s="49" customFormat="1" ht="50.1" customHeight="1">
      <c r="A57" s="51" t="s">
        <v>35</v>
      </c>
      <c r="B57" s="51"/>
      <c r="C57" s="51"/>
    </row>
    <row r="58" spans="1:18" s="49" customFormat="1" ht="30" customHeight="1">
      <c r="A58" s="54" t="s">
        <v>37</v>
      </c>
      <c r="B58" s="54"/>
      <c r="C58" s="54"/>
      <c r="D58" s="54" t="s">
        <v>29</v>
      </c>
      <c r="E58" s="54"/>
      <c r="F58" s="54"/>
      <c r="G58" s="54" t="s">
        <v>30</v>
      </c>
      <c r="H58" s="54"/>
      <c r="I58" s="54"/>
      <c r="J58" s="54"/>
      <c r="K58" s="54"/>
      <c r="L58" s="54"/>
    </row>
    <row r="59" spans="1:18" s="49" customFormat="1" ht="50.1" customHeight="1">
      <c r="A59" s="51" t="s">
        <v>33</v>
      </c>
      <c r="B59" s="51"/>
      <c r="C59" s="51"/>
      <c r="D59" s="51"/>
    </row>
    <row r="60" spans="1:18" s="49" customFormat="1" ht="50.1" customHeight="1">
      <c r="A60" s="88" t="s">
        <v>34</v>
      </c>
      <c r="B60" s="88"/>
      <c r="C60" s="53"/>
      <c r="D60" s="52"/>
    </row>
    <row r="61" spans="1:18" s="49" customFormat="1" ht="50.1" customHeight="1">
      <c r="A61" s="51" t="s">
        <v>35</v>
      </c>
      <c r="B61" s="51"/>
      <c r="C61" s="51"/>
    </row>
    <row r="62" spans="1:18" s="49" customFormat="1" ht="30" customHeight="1">
      <c r="A62" s="54" t="s">
        <v>38</v>
      </c>
      <c r="B62" s="54"/>
      <c r="C62" s="54"/>
      <c r="D62" s="54" t="s">
        <v>29</v>
      </c>
      <c r="E62" s="54"/>
      <c r="F62" s="54"/>
      <c r="G62" s="54" t="s">
        <v>30</v>
      </c>
      <c r="H62" s="54"/>
      <c r="I62" s="54"/>
      <c r="J62" s="54"/>
      <c r="K62" s="54"/>
      <c r="L62" s="54"/>
    </row>
    <row r="63" spans="1:18" s="49" customFormat="1" ht="50.1" customHeight="1">
      <c r="A63" s="51" t="s">
        <v>33</v>
      </c>
      <c r="B63" s="51"/>
      <c r="C63" s="51"/>
      <c r="D63" s="51"/>
    </row>
    <row r="64" spans="1:18" s="49" customFormat="1" ht="50.1" customHeight="1">
      <c r="A64" s="88" t="s">
        <v>34</v>
      </c>
      <c r="B64" s="88"/>
      <c r="C64" s="53"/>
      <c r="D64" s="52"/>
    </row>
    <row r="65" spans="1:12" s="49" customFormat="1" ht="50.1" customHeight="1">
      <c r="A65" s="51" t="s">
        <v>35</v>
      </c>
      <c r="B65" s="51"/>
      <c r="C65" s="51"/>
    </row>
    <row r="66" spans="1:12" s="49" customFormat="1" ht="30" customHeight="1">
      <c r="A66" s="54" t="s">
        <v>39</v>
      </c>
      <c r="B66" s="54"/>
      <c r="C66" s="54"/>
      <c r="D66" s="54" t="s">
        <v>29</v>
      </c>
      <c r="E66" s="54"/>
      <c r="F66" s="54"/>
      <c r="G66" s="54" t="s">
        <v>30</v>
      </c>
      <c r="H66" s="54"/>
      <c r="I66" s="54"/>
      <c r="J66" s="54"/>
      <c r="K66" s="54"/>
      <c r="L66" s="54"/>
    </row>
    <row r="67" spans="1:12" s="49" customFormat="1" ht="50.1" customHeight="1">
      <c r="A67" s="51" t="s">
        <v>33</v>
      </c>
      <c r="B67" s="51"/>
      <c r="C67" s="51"/>
      <c r="D67" s="51"/>
    </row>
    <row r="68" spans="1:12" s="49" customFormat="1" ht="50.1" customHeight="1">
      <c r="A68" s="88" t="s">
        <v>34</v>
      </c>
      <c r="B68" s="88"/>
      <c r="C68" s="53"/>
    </row>
    <row r="69" spans="1:12" s="49" customFormat="1" ht="50.1" customHeight="1">
      <c r="A69" s="51" t="s">
        <v>35</v>
      </c>
      <c r="B69" s="51"/>
      <c r="C69" s="51"/>
    </row>
    <row r="70" spans="1:12" s="49" customFormat="1" ht="30" customHeight="1">
      <c r="A70" s="54" t="s">
        <v>40</v>
      </c>
      <c r="B70" s="54"/>
      <c r="C70" s="54"/>
      <c r="D70" s="54" t="s">
        <v>29</v>
      </c>
      <c r="E70" s="54"/>
      <c r="F70" s="54"/>
      <c r="G70" s="54" t="s">
        <v>30</v>
      </c>
      <c r="H70" s="54"/>
      <c r="I70" s="54"/>
      <c r="J70" s="54"/>
      <c r="K70" s="54"/>
      <c r="L70" s="54"/>
    </row>
    <row r="71" spans="1:12" s="49" customFormat="1" ht="50.1" customHeight="1">
      <c r="A71" s="51" t="s">
        <v>33</v>
      </c>
      <c r="B71" s="51"/>
      <c r="C71" s="51"/>
      <c r="D71" s="51"/>
    </row>
    <row r="72" spans="1:12" s="49" customFormat="1" ht="50.1" customHeight="1">
      <c r="A72" s="88" t="s">
        <v>34</v>
      </c>
      <c r="B72" s="88"/>
      <c r="C72" s="53"/>
      <c r="D72" s="52"/>
    </row>
    <row r="73" spans="1:12" s="49" customFormat="1" ht="50.1" customHeight="1">
      <c r="A73" s="51" t="s">
        <v>35</v>
      </c>
      <c r="B73" s="51"/>
      <c r="C73" s="51"/>
      <c r="E73" s="50"/>
      <c r="F73" s="50"/>
    </row>
    <row r="74" spans="1:12" s="49" customFormat="1" ht="30" customHeight="1">
      <c r="A74" s="54" t="s">
        <v>41</v>
      </c>
      <c r="B74" s="54"/>
      <c r="C74" s="54"/>
      <c r="D74" s="54" t="s">
        <v>29</v>
      </c>
      <c r="E74" s="54"/>
      <c r="F74" s="54"/>
      <c r="G74" s="54" t="s">
        <v>30</v>
      </c>
      <c r="H74" s="54"/>
      <c r="I74" s="54"/>
      <c r="J74" s="54"/>
      <c r="K74" s="54"/>
      <c r="L74" s="54"/>
    </row>
    <row r="75" spans="1:12" s="49" customFormat="1" ht="39.950000000000003" customHeight="1">
      <c r="A75" s="51" t="s">
        <v>33</v>
      </c>
      <c r="B75" s="51"/>
      <c r="C75" s="56"/>
    </row>
    <row r="76" spans="1:12" s="49" customFormat="1" ht="39.950000000000003" customHeight="1">
      <c r="A76" s="94" t="s">
        <v>34</v>
      </c>
      <c r="B76" s="94"/>
      <c r="C76" s="53"/>
      <c r="D76" s="52"/>
    </row>
    <row r="77" spans="1:12" s="49" customFormat="1" ht="39.950000000000003" customHeight="1">
      <c r="A77" s="51" t="s">
        <v>35</v>
      </c>
      <c r="B77" s="51"/>
      <c r="C77" s="51"/>
    </row>
    <row r="78" spans="1:12" s="49" customFormat="1" ht="30" customHeight="1">
      <c r="A78" s="54" t="s">
        <v>42</v>
      </c>
      <c r="B78" s="54"/>
      <c r="C78" s="54"/>
      <c r="D78" s="54" t="s">
        <v>29</v>
      </c>
      <c r="E78" s="54"/>
      <c r="F78" s="54"/>
      <c r="G78" s="54" t="s">
        <v>30</v>
      </c>
      <c r="H78" s="54"/>
      <c r="I78" s="54"/>
      <c r="J78" s="54"/>
      <c r="K78" s="54"/>
      <c r="L78" s="54"/>
    </row>
    <row r="79" spans="1:12" s="49" customFormat="1" ht="39.950000000000003" customHeight="1">
      <c r="A79" s="51" t="s">
        <v>33</v>
      </c>
      <c r="B79" s="51"/>
      <c r="C79" s="51"/>
      <c r="D79" s="51"/>
    </row>
    <row r="80" spans="1:12" s="49" customFormat="1" ht="39.950000000000003" customHeight="1">
      <c r="A80" s="94" t="s">
        <v>34</v>
      </c>
      <c r="B80" s="94"/>
      <c r="C80" s="53"/>
      <c r="D80" s="52"/>
    </row>
    <row r="81" spans="1:20" s="49" customFormat="1" ht="39.950000000000003" customHeight="1">
      <c r="A81" s="51" t="s">
        <v>35</v>
      </c>
      <c r="B81" s="51"/>
      <c r="C81" s="51"/>
    </row>
    <row r="82" spans="1:20" s="49" customFormat="1" ht="30" customHeight="1">
      <c r="A82" s="54" t="s">
        <v>43</v>
      </c>
      <c r="B82" s="54"/>
      <c r="C82" s="54"/>
      <c r="D82" s="54" t="s">
        <v>29</v>
      </c>
      <c r="E82" s="54"/>
      <c r="F82" s="54"/>
      <c r="G82" s="54" t="s">
        <v>30</v>
      </c>
      <c r="H82" s="54"/>
      <c r="I82" s="54"/>
      <c r="J82" s="54"/>
      <c r="K82" s="54"/>
      <c r="L82" s="54"/>
    </row>
    <row r="83" spans="1:20" s="49" customFormat="1" ht="39.950000000000003" customHeight="1">
      <c r="A83" s="51" t="s">
        <v>33</v>
      </c>
      <c r="B83" s="51"/>
      <c r="C83" s="51"/>
      <c r="D83" s="51"/>
      <c r="M83" s="55"/>
      <c r="N83" s="55"/>
      <c r="O83" s="55"/>
      <c r="P83" s="55"/>
      <c r="Q83" s="55"/>
      <c r="R83" s="55"/>
      <c r="S83" s="55"/>
      <c r="T83" s="55"/>
    </row>
    <row r="84" spans="1:20" s="49" customFormat="1" ht="39.950000000000003" customHeight="1">
      <c r="A84" s="88" t="s">
        <v>34</v>
      </c>
      <c r="B84" s="88"/>
      <c r="C84" s="53"/>
      <c r="D84" s="52"/>
      <c r="M84" s="55"/>
      <c r="N84" s="55"/>
      <c r="O84" s="55"/>
      <c r="P84" s="55"/>
      <c r="Q84" s="55"/>
      <c r="R84" s="55"/>
      <c r="S84" s="55"/>
      <c r="T84" s="55"/>
    </row>
    <row r="85" spans="1:20" s="49" customFormat="1" ht="39.950000000000003" customHeight="1">
      <c r="A85" s="51" t="s">
        <v>35</v>
      </c>
      <c r="B85" s="51"/>
      <c r="C85" s="51"/>
      <c r="M85" s="55"/>
      <c r="N85" s="55"/>
      <c r="O85" s="55"/>
      <c r="P85" s="55"/>
      <c r="Q85" s="55"/>
      <c r="R85" s="55"/>
      <c r="S85" s="55"/>
      <c r="T85" s="55"/>
    </row>
    <row r="86" spans="1:20" s="49" customFormat="1" ht="30" customHeight="1">
      <c r="A86" s="54" t="s">
        <v>44</v>
      </c>
      <c r="B86" s="54"/>
      <c r="C86" s="54"/>
      <c r="D86" s="54" t="s">
        <v>29</v>
      </c>
      <c r="E86" s="54"/>
      <c r="F86" s="54"/>
      <c r="G86" s="54" t="s">
        <v>30</v>
      </c>
      <c r="H86" s="54"/>
      <c r="I86" s="54"/>
      <c r="J86" s="54"/>
      <c r="K86" s="54"/>
      <c r="L86" s="54"/>
    </row>
    <row r="87" spans="1:20" s="48" customFormat="1" ht="39.950000000000003" customHeight="1">
      <c r="A87" s="51" t="s">
        <v>33</v>
      </c>
      <c r="B87" s="51"/>
      <c r="C87" s="51"/>
      <c r="D87" s="51"/>
      <c r="E87" s="49"/>
      <c r="F87" s="49"/>
      <c r="G87" s="49"/>
      <c r="H87" s="49"/>
      <c r="I87" s="49"/>
      <c r="J87" s="49"/>
      <c r="K87" s="49"/>
      <c r="L87" s="49"/>
    </row>
    <row r="88" spans="1:20" s="48" customFormat="1" ht="39.950000000000003" customHeight="1">
      <c r="A88" s="88" t="s">
        <v>34</v>
      </c>
      <c r="B88" s="88"/>
      <c r="C88" s="53"/>
      <c r="D88" s="52"/>
      <c r="E88" s="49"/>
      <c r="F88" s="49"/>
      <c r="G88" s="49"/>
      <c r="H88" s="49"/>
      <c r="I88" s="49"/>
      <c r="J88" s="49"/>
      <c r="K88" s="49"/>
      <c r="L88" s="49"/>
    </row>
    <row r="89" spans="1:20" s="48" customFormat="1" ht="39.950000000000003" customHeight="1">
      <c r="A89" s="51" t="s">
        <v>35</v>
      </c>
      <c r="B89" s="51"/>
      <c r="C89" s="51"/>
      <c r="D89" s="49"/>
      <c r="E89" s="49"/>
      <c r="F89" s="49"/>
      <c r="G89" s="49"/>
      <c r="H89" s="49"/>
      <c r="I89" s="49"/>
      <c r="J89" s="49"/>
      <c r="K89" s="49"/>
      <c r="L89" s="49"/>
    </row>
    <row r="90" spans="1:20" s="48" customFormat="1" ht="30" customHeight="1">
      <c r="A90" s="54" t="s">
        <v>45</v>
      </c>
      <c r="B90" s="54"/>
      <c r="C90" s="54"/>
      <c r="D90" s="54" t="s">
        <v>29</v>
      </c>
      <c r="E90" s="54"/>
      <c r="F90" s="54"/>
      <c r="G90" s="54" t="s">
        <v>30</v>
      </c>
      <c r="H90" s="54"/>
      <c r="I90" s="54"/>
      <c r="J90" s="54"/>
      <c r="K90" s="54"/>
      <c r="L90" s="54"/>
    </row>
    <row r="91" spans="1:20" s="48" customFormat="1" ht="39.950000000000003" customHeight="1">
      <c r="A91" s="51" t="s">
        <v>33</v>
      </c>
      <c r="B91" s="51"/>
      <c r="C91" s="51"/>
      <c r="D91" s="51"/>
      <c r="E91" s="49"/>
      <c r="F91" s="49"/>
      <c r="G91" s="49"/>
      <c r="H91" s="49"/>
      <c r="I91" s="49"/>
      <c r="J91" s="49"/>
      <c r="K91" s="49"/>
      <c r="L91" s="49"/>
    </row>
    <row r="92" spans="1:20" s="48" customFormat="1" ht="39.950000000000003" customHeight="1">
      <c r="A92" s="88" t="s">
        <v>34</v>
      </c>
      <c r="B92" s="88"/>
      <c r="C92" s="53"/>
      <c r="D92" s="49"/>
      <c r="E92" s="49"/>
      <c r="F92" s="49"/>
      <c r="G92" s="49"/>
      <c r="H92" s="49"/>
      <c r="I92" s="49"/>
      <c r="J92" s="49"/>
      <c r="K92" s="49"/>
      <c r="L92" s="49"/>
    </row>
    <row r="93" spans="1:20" s="48" customFormat="1" ht="39.950000000000003" customHeight="1">
      <c r="A93" s="51" t="s">
        <v>35</v>
      </c>
      <c r="B93" s="51"/>
      <c r="C93" s="51"/>
      <c r="D93" s="49"/>
      <c r="E93" s="49"/>
      <c r="F93" s="49"/>
      <c r="G93" s="49"/>
      <c r="H93" s="49"/>
      <c r="I93" s="49"/>
      <c r="J93" s="49"/>
      <c r="K93" s="49"/>
      <c r="L93" s="49"/>
    </row>
    <row r="94" spans="1:20" s="48" customFormat="1" ht="30" customHeight="1">
      <c r="A94" s="54" t="s">
        <v>46</v>
      </c>
      <c r="B94" s="54"/>
      <c r="C94" s="54"/>
      <c r="D94" s="54" t="s">
        <v>29</v>
      </c>
      <c r="E94" s="54"/>
      <c r="F94" s="54"/>
      <c r="G94" s="54" t="s">
        <v>30</v>
      </c>
      <c r="H94" s="54"/>
      <c r="I94" s="54"/>
      <c r="J94" s="54"/>
      <c r="K94" s="54"/>
      <c r="L94" s="54"/>
    </row>
    <row r="95" spans="1:20" s="48" customFormat="1" ht="39.950000000000003" customHeight="1">
      <c r="A95" s="51" t="s">
        <v>33</v>
      </c>
      <c r="B95" s="51"/>
      <c r="C95" s="51"/>
      <c r="D95" s="51"/>
      <c r="E95" s="49"/>
      <c r="F95" s="49"/>
      <c r="G95" s="49"/>
      <c r="H95" s="49"/>
      <c r="I95" s="49"/>
      <c r="J95" s="49"/>
      <c r="K95" s="49"/>
      <c r="L95" s="49"/>
    </row>
    <row r="96" spans="1:20" s="48" customFormat="1" ht="39.950000000000003" customHeight="1">
      <c r="A96" s="88" t="s">
        <v>34</v>
      </c>
      <c r="B96" s="88"/>
      <c r="C96" s="53"/>
      <c r="D96" s="52"/>
      <c r="E96" s="49"/>
      <c r="F96" s="49"/>
      <c r="G96" s="49"/>
      <c r="H96" s="49"/>
      <c r="I96" s="49"/>
      <c r="J96" s="49"/>
      <c r="K96" s="49"/>
      <c r="L96" s="49"/>
    </row>
    <row r="97" spans="1:12" s="48" customFormat="1" ht="39.950000000000003" customHeight="1">
      <c r="A97" s="51" t="s">
        <v>35</v>
      </c>
      <c r="B97" s="51"/>
      <c r="C97" s="51"/>
      <c r="D97" s="49"/>
      <c r="E97" s="50"/>
      <c r="F97" s="50"/>
      <c r="G97" s="49"/>
      <c r="H97" s="49"/>
      <c r="I97" s="49"/>
      <c r="J97" s="49"/>
      <c r="K97" s="49"/>
      <c r="L97" s="49"/>
    </row>
    <row r="98" spans="1:12" ht="21.75" customHeight="1">
      <c r="A98" s="46"/>
    </row>
    <row r="99" spans="1:12" ht="21.75" customHeight="1">
      <c r="A99" s="46"/>
    </row>
  </sheetData>
  <mergeCells count="19">
    <mergeCell ref="A2:K2"/>
    <mergeCell ref="A3:A4"/>
    <mergeCell ref="F3:I3"/>
    <mergeCell ref="J3:K3"/>
    <mergeCell ref="A96:B96"/>
    <mergeCell ref="A52:B52"/>
    <mergeCell ref="A56:B56"/>
    <mergeCell ref="A92:B92"/>
    <mergeCell ref="B3:E3"/>
    <mergeCell ref="A80:B80"/>
    <mergeCell ref="A84:B84"/>
    <mergeCell ref="A88:B88"/>
    <mergeCell ref="A76:B76"/>
    <mergeCell ref="A49:L49"/>
    <mergeCell ref="A64:B64"/>
    <mergeCell ref="A68:B68"/>
    <mergeCell ref="A72:B72"/>
    <mergeCell ref="A60:B60"/>
    <mergeCell ref="A43:L47"/>
  </mergeCells>
  <pageMargins left="0.2" right="0.18" top="0.3" bottom="0.23" header="0.24" footer="0.23"/>
  <pageSetup paperSize="9" scale="70" orientation="portrait" horizontalDpi="4294967293" verticalDpi="1200" r:id="rId1"/>
  <headerFooter alignWithMargins="0"/>
  <rowBreaks count="1" manualBreakCount="1">
    <brk id="73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A696-3CB7-4F02-9E3B-E05B9A486B2E}">
  <dimension ref="A1:T98"/>
  <sheetViews>
    <sheetView zoomScale="80" zoomScaleNormal="80" workbookViewId="0">
      <selection activeCell="C4" sqref="C4"/>
    </sheetView>
  </sheetViews>
  <sheetFormatPr defaultColWidth="9.140625" defaultRowHeight="21.75" customHeight="1"/>
  <cols>
    <col min="1" max="1" width="16.42578125" style="13" customWidth="1"/>
    <col min="2" max="2" width="16.28515625" style="3" customWidth="1"/>
    <col min="3" max="3" width="12.5703125" style="3" customWidth="1"/>
    <col min="4" max="4" width="14.5703125" style="3" bestFit="1" customWidth="1"/>
    <col min="5" max="7" width="12.5703125" style="3" customWidth="1"/>
    <col min="8" max="8" width="13.42578125" style="3" customWidth="1"/>
    <col min="9" max="9" width="12.5703125" style="3" customWidth="1"/>
    <col min="10" max="10" width="13" style="3" customWidth="1"/>
    <col min="11" max="11" width="15.85546875" style="3" customWidth="1"/>
    <col min="12" max="12" width="9.140625" style="3"/>
    <col min="13" max="13" width="17.5703125" style="3" bestFit="1" customWidth="1"/>
    <col min="14" max="16" width="13.140625" style="3" customWidth="1"/>
    <col min="17" max="18" width="11.28515625" style="3" bestFit="1" customWidth="1"/>
    <col min="19" max="19" width="6.140625" style="3" bestFit="1" customWidth="1"/>
    <col min="20" max="16384" width="9.140625" style="3"/>
  </cols>
  <sheetData>
    <row r="1" spans="1:16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47</v>
      </c>
      <c r="L1" s="2"/>
    </row>
    <row r="2" spans="1:16" ht="21" customHeight="1" thickBot="1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2"/>
    </row>
    <row r="3" spans="1:16" s="5" customFormat="1" ht="21.6" customHeight="1" thickBot="1">
      <c r="A3" s="102" t="s">
        <v>2</v>
      </c>
      <c r="B3" s="103" t="s">
        <v>49</v>
      </c>
      <c r="C3" s="103"/>
      <c r="D3" s="103"/>
      <c r="E3" s="103"/>
      <c r="F3" s="103" t="s">
        <v>50</v>
      </c>
      <c r="G3" s="103"/>
      <c r="H3" s="103"/>
      <c r="I3" s="103"/>
      <c r="J3" s="103" t="s">
        <v>5</v>
      </c>
      <c r="K3" s="103"/>
      <c r="M3" s="23" t="s">
        <v>51</v>
      </c>
      <c r="N3" s="24"/>
      <c r="O3" s="24"/>
      <c r="P3" s="24"/>
    </row>
    <row r="4" spans="1:16" s="5" customFormat="1" ht="54" customHeight="1" thickBot="1">
      <c r="A4" s="102"/>
      <c r="B4" s="22" t="s">
        <v>6</v>
      </c>
      <c r="C4" s="22" t="s">
        <v>52</v>
      </c>
      <c r="D4" s="22" t="s">
        <v>8</v>
      </c>
      <c r="E4" s="22" t="s">
        <v>53</v>
      </c>
      <c r="F4" s="22" t="s">
        <v>6</v>
      </c>
      <c r="G4" s="22" t="s">
        <v>54</v>
      </c>
      <c r="H4" s="22" t="s">
        <v>8</v>
      </c>
      <c r="I4" s="22" t="s">
        <v>55</v>
      </c>
      <c r="J4" s="22" t="s">
        <v>56</v>
      </c>
      <c r="K4" s="22" t="s">
        <v>57</v>
      </c>
      <c r="M4" s="25"/>
      <c r="N4" s="25" t="s">
        <v>58</v>
      </c>
      <c r="O4" s="25" t="s">
        <v>59</v>
      </c>
      <c r="P4" s="25"/>
    </row>
    <row r="5" spans="1:16" ht="24.95" customHeight="1">
      <c r="A5" s="6" t="s">
        <v>14</v>
      </c>
      <c r="B5" s="7">
        <v>94</v>
      </c>
      <c r="C5" s="7">
        <v>422</v>
      </c>
      <c r="D5" s="7">
        <v>3376</v>
      </c>
      <c r="E5" s="8">
        <f>C5/B5</f>
        <v>4.4893617021276597</v>
      </c>
      <c r="F5" s="9">
        <v>95</v>
      </c>
      <c r="G5" s="9">
        <f>P5</f>
        <v>291</v>
      </c>
      <c r="H5" s="9">
        <f>G5*8</f>
        <v>2328</v>
      </c>
      <c r="I5" s="8">
        <f>G5/F5</f>
        <v>3.0631578947368423</v>
      </c>
      <c r="J5" s="19">
        <f>(G5-C5)/C5</f>
        <v>-0.31042654028436018</v>
      </c>
      <c r="K5" s="20">
        <f>(I5-E5)/E5</f>
        <v>-0.31768520828136693</v>
      </c>
      <c r="M5" s="26" t="s">
        <v>60</v>
      </c>
      <c r="N5" s="27">
        <v>272074.90000000002</v>
      </c>
      <c r="O5" s="27">
        <v>271783.90000000002</v>
      </c>
      <c r="P5" s="28">
        <f>N5-O5</f>
        <v>291</v>
      </c>
    </row>
    <row r="6" spans="1:16" ht="24.95" customHeight="1">
      <c r="A6" s="6" t="s">
        <v>15</v>
      </c>
      <c r="B6" s="7">
        <v>94</v>
      </c>
      <c r="C6" s="7">
        <v>396</v>
      </c>
      <c r="D6" s="7">
        <v>3168</v>
      </c>
      <c r="E6" s="8">
        <f t="shared" ref="E6:E16" si="0">C6/B6</f>
        <v>4.2127659574468082</v>
      </c>
      <c r="F6" s="9">
        <v>95</v>
      </c>
      <c r="G6" s="9">
        <f t="shared" ref="G6:G16" si="1">P6</f>
        <v>467.29999999998836</v>
      </c>
      <c r="H6" s="9">
        <f t="shared" ref="H6:H16" si="2">G6*8</f>
        <v>3738.3999999999069</v>
      </c>
      <c r="I6" s="8">
        <f t="shared" ref="I6:I16" si="3">G6/F6</f>
        <v>4.9189473684209304</v>
      </c>
      <c r="J6" s="19">
        <f t="shared" ref="J6:J18" si="4">(G6-C6)/C6</f>
        <v>0.18005050505047565</v>
      </c>
      <c r="K6" s="20">
        <f>(I6-E6)/E6</f>
        <v>0.16762892078678659</v>
      </c>
      <c r="M6" s="26" t="s">
        <v>61</v>
      </c>
      <c r="N6" s="27">
        <v>272542.2</v>
      </c>
      <c r="O6" s="27">
        <v>272074.90000000002</v>
      </c>
      <c r="P6" s="28">
        <f t="shared" ref="P6:P16" si="5">N6-O6</f>
        <v>467.29999999998836</v>
      </c>
    </row>
    <row r="7" spans="1:16" ht="24.95" customHeight="1">
      <c r="A7" s="6" t="s">
        <v>16</v>
      </c>
      <c r="B7" s="7">
        <v>94</v>
      </c>
      <c r="C7" s="7">
        <v>776</v>
      </c>
      <c r="D7" s="7">
        <v>6208</v>
      </c>
      <c r="E7" s="8">
        <f t="shared" si="0"/>
        <v>8.2553191489361701</v>
      </c>
      <c r="F7" s="9">
        <v>95</v>
      </c>
      <c r="G7" s="9">
        <f t="shared" si="1"/>
        <v>507.59999999997672</v>
      </c>
      <c r="H7" s="9">
        <f t="shared" si="2"/>
        <v>4060.7999999998137</v>
      </c>
      <c r="I7" s="8">
        <f t="shared" si="3"/>
        <v>5.3431578947365974</v>
      </c>
      <c r="J7" s="19">
        <f t="shared" si="4"/>
        <v>-0.34587628865982384</v>
      </c>
      <c r="K7" s="20">
        <f t="shared" ref="K7:K18" si="6">(I7-E7)/E7</f>
        <v>-0.35276180141077301</v>
      </c>
      <c r="M7" s="26" t="s">
        <v>62</v>
      </c>
      <c r="N7" s="28">
        <v>273049.8</v>
      </c>
      <c r="O7" s="27">
        <v>272542.2</v>
      </c>
      <c r="P7" s="28">
        <f t="shared" si="5"/>
        <v>507.59999999997672</v>
      </c>
    </row>
    <row r="8" spans="1:16" ht="24.95" customHeight="1">
      <c r="A8" s="6" t="s">
        <v>17</v>
      </c>
      <c r="B8" s="7">
        <v>94</v>
      </c>
      <c r="C8" s="7">
        <v>548</v>
      </c>
      <c r="D8" s="7">
        <v>4384</v>
      </c>
      <c r="E8" s="8">
        <f t="shared" si="0"/>
        <v>5.8297872340425529</v>
      </c>
      <c r="F8" s="9">
        <v>95</v>
      </c>
      <c r="G8" s="9">
        <f t="shared" si="1"/>
        <v>452.29999999998836</v>
      </c>
      <c r="H8" s="9">
        <f t="shared" si="2"/>
        <v>3618.3999999999069</v>
      </c>
      <c r="I8" s="8">
        <f t="shared" si="3"/>
        <v>4.7610526315788251</v>
      </c>
      <c r="J8" s="19">
        <f t="shared" si="4"/>
        <v>-0.1746350364963716</v>
      </c>
      <c r="K8" s="20">
        <f t="shared" si="6"/>
        <v>-0.18332308874377815</v>
      </c>
      <c r="M8" s="26" t="s">
        <v>63</v>
      </c>
      <c r="N8" s="28">
        <v>273502.09999999998</v>
      </c>
      <c r="O8" s="28">
        <v>273049.8</v>
      </c>
      <c r="P8" s="28">
        <f t="shared" si="5"/>
        <v>452.29999999998836</v>
      </c>
    </row>
    <row r="9" spans="1:16" ht="24.95" customHeight="1">
      <c r="A9" s="6" t="s">
        <v>18</v>
      </c>
      <c r="B9" s="7">
        <v>94</v>
      </c>
      <c r="C9" s="7">
        <v>411</v>
      </c>
      <c r="D9" s="7">
        <v>3288</v>
      </c>
      <c r="E9" s="8">
        <f t="shared" si="0"/>
        <v>4.3723404255319149</v>
      </c>
      <c r="F9" s="9">
        <v>95</v>
      </c>
      <c r="G9" s="9">
        <f t="shared" si="1"/>
        <v>408.70000000001164</v>
      </c>
      <c r="H9" s="9">
        <f t="shared" si="2"/>
        <v>3269.6000000000931</v>
      </c>
      <c r="I9" s="8">
        <f t="shared" si="3"/>
        <v>4.3021052631580172</v>
      </c>
      <c r="J9" s="19">
        <f t="shared" si="4"/>
        <v>-5.5961070559327458E-3</v>
      </c>
      <c r="K9" s="20">
        <f t="shared" si="6"/>
        <v>-1.6063516455344002E-2</v>
      </c>
      <c r="M9" s="26" t="s">
        <v>64</v>
      </c>
      <c r="N9" s="28">
        <v>273910.8</v>
      </c>
      <c r="O9" s="28">
        <v>273502.09999999998</v>
      </c>
      <c r="P9" s="28">
        <f t="shared" si="5"/>
        <v>408.70000000001164</v>
      </c>
    </row>
    <row r="10" spans="1:16" ht="24.95" customHeight="1">
      <c r="A10" s="6" t="s">
        <v>19</v>
      </c>
      <c r="B10" s="7">
        <v>94</v>
      </c>
      <c r="C10" s="7">
        <v>334</v>
      </c>
      <c r="D10" s="7">
        <v>2672</v>
      </c>
      <c r="E10" s="8">
        <f t="shared" si="0"/>
        <v>3.5531914893617023</v>
      </c>
      <c r="F10" s="9">
        <v>95</v>
      </c>
      <c r="G10" s="9">
        <f t="shared" si="1"/>
        <v>369</v>
      </c>
      <c r="H10" s="9">
        <f>G10*8</f>
        <v>2952</v>
      </c>
      <c r="I10" s="8">
        <f t="shared" si="3"/>
        <v>3.8842105263157896</v>
      </c>
      <c r="J10" s="19">
        <f t="shared" si="4"/>
        <v>0.10479041916167664</v>
      </c>
      <c r="K10" s="20">
        <f t="shared" si="6"/>
        <v>9.3161046328395822E-2</v>
      </c>
      <c r="M10" s="26" t="s">
        <v>65</v>
      </c>
      <c r="N10" s="28">
        <v>274279.8</v>
      </c>
      <c r="O10" s="28">
        <v>273910.8</v>
      </c>
      <c r="P10" s="28">
        <f t="shared" si="5"/>
        <v>369</v>
      </c>
    </row>
    <row r="11" spans="1:16" ht="24.95" customHeight="1">
      <c r="A11" s="6" t="s">
        <v>20</v>
      </c>
      <c r="B11" s="7">
        <v>94</v>
      </c>
      <c r="C11" s="7">
        <v>519</v>
      </c>
      <c r="D11" s="7">
        <v>4152</v>
      </c>
      <c r="E11" s="8">
        <f t="shared" si="0"/>
        <v>5.5212765957446805</v>
      </c>
      <c r="F11" s="9">
        <v>95</v>
      </c>
      <c r="G11" s="9">
        <f t="shared" si="1"/>
        <v>462.10000000003492</v>
      </c>
      <c r="H11" s="9">
        <f>G11*8</f>
        <v>3696.8000000002794</v>
      </c>
      <c r="I11" s="8">
        <f t="shared" si="3"/>
        <v>4.8642105263161568</v>
      </c>
      <c r="J11" s="19">
        <f t="shared" si="4"/>
        <v>-0.10963391136794812</v>
      </c>
      <c r="K11" s="20">
        <f t="shared" si="6"/>
        <v>-0.11900618598512762</v>
      </c>
      <c r="M11" s="26" t="s">
        <v>66</v>
      </c>
      <c r="N11" s="43">
        <v>274741.90000000002</v>
      </c>
      <c r="O11" s="28">
        <v>274279.8</v>
      </c>
      <c r="P11" s="28">
        <f t="shared" si="5"/>
        <v>462.10000000003492</v>
      </c>
    </row>
    <row r="12" spans="1:16" ht="24.95" customHeight="1">
      <c r="A12" s="6" t="s">
        <v>21</v>
      </c>
      <c r="B12" s="7">
        <v>94</v>
      </c>
      <c r="C12" s="7">
        <v>505</v>
      </c>
      <c r="D12" s="7">
        <v>4040</v>
      </c>
      <c r="E12" s="8">
        <f t="shared" si="0"/>
        <v>5.3723404255319149</v>
      </c>
      <c r="F12" s="9">
        <v>95</v>
      </c>
      <c r="G12" s="9">
        <f t="shared" si="1"/>
        <v>348.59999999997672</v>
      </c>
      <c r="H12" s="9">
        <f t="shared" si="2"/>
        <v>2788.7999999998137</v>
      </c>
      <c r="I12" s="8">
        <f t="shared" si="3"/>
        <v>3.6694736842102813</v>
      </c>
      <c r="J12" s="19">
        <f t="shared" si="4"/>
        <v>-0.30970297029707583</v>
      </c>
      <c r="K12" s="20">
        <f t="shared" si="6"/>
        <v>-0.3169692548202645</v>
      </c>
      <c r="M12" s="26" t="s">
        <v>67</v>
      </c>
      <c r="N12" s="43">
        <v>275090.5</v>
      </c>
      <c r="O12" s="43">
        <v>274741.90000000002</v>
      </c>
      <c r="P12" s="28">
        <f t="shared" si="5"/>
        <v>348.59999999997672</v>
      </c>
    </row>
    <row r="13" spans="1:16" ht="24.95" customHeight="1">
      <c r="A13" s="6" t="s">
        <v>22</v>
      </c>
      <c r="B13" s="7">
        <v>94</v>
      </c>
      <c r="C13" s="7">
        <v>379</v>
      </c>
      <c r="D13" s="7">
        <v>3032</v>
      </c>
      <c r="E13" s="8">
        <f t="shared" si="0"/>
        <v>4.0319148936170217</v>
      </c>
      <c r="F13" s="9">
        <v>95</v>
      </c>
      <c r="G13" s="9">
        <f t="shared" si="1"/>
        <v>355.5</v>
      </c>
      <c r="H13" s="9">
        <f t="shared" si="2"/>
        <v>2844</v>
      </c>
      <c r="I13" s="8">
        <f t="shared" si="3"/>
        <v>3.7421052631578946</v>
      </c>
      <c r="J13" s="19">
        <f t="shared" si="4"/>
        <v>-6.2005277044854881E-2</v>
      </c>
      <c r="K13" s="20">
        <f t="shared" si="6"/>
        <v>-7.1878905707540755E-2</v>
      </c>
      <c r="M13" s="26" t="s">
        <v>68</v>
      </c>
      <c r="N13" s="43">
        <v>275446</v>
      </c>
      <c r="O13" s="43">
        <v>275090.5</v>
      </c>
      <c r="P13" s="28">
        <f t="shared" si="5"/>
        <v>355.5</v>
      </c>
    </row>
    <row r="14" spans="1:16" ht="24.95" customHeight="1">
      <c r="A14" s="6" t="s">
        <v>23</v>
      </c>
      <c r="B14" s="7">
        <v>94</v>
      </c>
      <c r="C14" s="7">
        <v>412</v>
      </c>
      <c r="D14" s="7">
        <v>3296</v>
      </c>
      <c r="E14" s="8">
        <f t="shared" si="0"/>
        <v>4.3829787234042552</v>
      </c>
      <c r="F14" s="9">
        <v>95</v>
      </c>
      <c r="G14" s="9">
        <f t="shared" si="1"/>
        <v>463.59999999997672</v>
      </c>
      <c r="H14" s="9">
        <f t="shared" si="2"/>
        <v>3708.7999999998137</v>
      </c>
      <c r="I14" s="8">
        <f t="shared" si="3"/>
        <v>4.8799999999997548</v>
      </c>
      <c r="J14" s="19">
        <f t="shared" si="4"/>
        <v>0.12524271844654544</v>
      </c>
      <c r="K14" s="20">
        <f t="shared" si="6"/>
        <v>0.11339805825237126</v>
      </c>
      <c r="M14" s="26" t="s">
        <v>69</v>
      </c>
      <c r="N14" s="43">
        <v>275909.59999999998</v>
      </c>
      <c r="O14" s="43">
        <v>275446</v>
      </c>
      <c r="P14" s="28">
        <f t="shared" si="5"/>
        <v>463.59999999997672</v>
      </c>
    </row>
    <row r="15" spans="1:16" ht="24.95" customHeight="1">
      <c r="A15" s="6" t="s">
        <v>24</v>
      </c>
      <c r="B15" s="7">
        <v>94</v>
      </c>
      <c r="C15" s="7">
        <v>472</v>
      </c>
      <c r="D15" s="7">
        <v>3776</v>
      </c>
      <c r="E15" s="8">
        <f t="shared" si="0"/>
        <v>5.0212765957446805</v>
      </c>
      <c r="F15" s="9">
        <v>95</v>
      </c>
      <c r="G15" s="9">
        <f t="shared" si="1"/>
        <v>508.10000000003492</v>
      </c>
      <c r="H15" s="9">
        <f t="shared" si="2"/>
        <v>4064.8000000002794</v>
      </c>
      <c r="I15" s="8">
        <f t="shared" si="3"/>
        <v>5.3484210526319469</v>
      </c>
      <c r="J15" s="19">
        <f t="shared" si="4"/>
        <v>7.6483050847531625E-2</v>
      </c>
      <c r="K15" s="20">
        <f t="shared" si="6"/>
        <v>6.5151650312294571E-2</v>
      </c>
      <c r="M15" s="26" t="s">
        <v>70</v>
      </c>
      <c r="N15" s="43">
        <v>276417.7</v>
      </c>
      <c r="O15" s="43">
        <v>275909.59999999998</v>
      </c>
      <c r="P15" s="28">
        <f t="shared" si="5"/>
        <v>508.10000000003492</v>
      </c>
    </row>
    <row r="16" spans="1:16" ht="24.95" customHeight="1">
      <c r="A16" s="6" t="s">
        <v>25</v>
      </c>
      <c r="B16" s="7">
        <v>94</v>
      </c>
      <c r="C16" s="7">
        <v>349</v>
      </c>
      <c r="D16" s="7">
        <v>2792</v>
      </c>
      <c r="E16" s="8">
        <f t="shared" si="0"/>
        <v>3.7127659574468086</v>
      </c>
      <c r="F16" s="9">
        <v>95</v>
      </c>
      <c r="G16" s="9">
        <f t="shared" si="1"/>
        <v>1032.5999999999767</v>
      </c>
      <c r="H16" s="9">
        <f t="shared" si="2"/>
        <v>8260.7999999998137</v>
      </c>
      <c r="I16" s="8">
        <f t="shared" si="3"/>
        <v>10.869473684210281</v>
      </c>
      <c r="J16" s="19">
        <f t="shared" si="4"/>
        <v>1.9587392550142599</v>
      </c>
      <c r="K16" s="20">
        <f t="shared" si="6"/>
        <v>1.9275946312772674</v>
      </c>
      <c r="M16" s="26" t="s">
        <v>71</v>
      </c>
      <c r="N16" s="43">
        <v>277450.3</v>
      </c>
      <c r="O16" s="43">
        <v>276417.7</v>
      </c>
      <c r="P16" s="28">
        <f t="shared" si="5"/>
        <v>1032.5999999999767</v>
      </c>
    </row>
    <row r="17" spans="1:11" ht="24.95" customHeight="1">
      <c r="A17" s="6" t="s">
        <v>26</v>
      </c>
      <c r="B17" s="8">
        <f>AVERAGE(B5:B16)</f>
        <v>94</v>
      </c>
      <c r="C17" s="8">
        <f t="shared" ref="C17:H17" si="7">AVERAGE(C5:C16)</f>
        <v>460.25</v>
      </c>
      <c r="D17" s="8">
        <f t="shared" si="7"/>
        <v>3682</v>
      </c>
      <c r="E17" s="8">
        <f t="shared" si="7"/>
        <v>4.8962765957446805</v>
      </c>
      <c r="F17" s="8">
        <f t="shared" si="7"/>
        <v>95</v>
      </c>
      <c r="G17" s="8">
        <f>AVERAGE(G5:G16)</f>
        <v>472.19999999999709</v>
      </c>
      <c r="H17" s="8">
        <f t="shared" si="7"/>
        <v>3777.5999999999767</v>
      </c>
      <c r="I17" s="8">
        <f>G17/F17</f>
        <v>4.970526315789443</v>
      </c>
      <c r="J17" s="19">
        <f>(G17-C17)/C17</f>
        <v>2.596414991851622E-2</v>
      </c>
      <c r="K17" s="20">
        <f>(I17-E17)/E17</f>
        <v>1.5164527287795056E-2</v>
      </c>
    </row>
    <row r="18" spans="1:11" ht="24.95" customHeight="1">
      <c r="A18" s="6" t="s">
        <v>27</v>
      </c>
      <c r="B18" s="8">
        <f t="shared" ref="B18:I18" si="8">SUM(B5:B16)</f>
        <v>1128</v>
      </c>
      <c r="C18" s="8">
        <f t="shared" si="8"/>
        <v>5523</v>
      </c>
      <c r="D18" s="8">
        <f t="shared" si="8"/>
        <v>44184</v>
      </c>
      <c r="E18" s="8">
        <f t="shared" si="8"/>
        <v>58.755319148936167</v>
      </c>
      <c r="F18" s="8">
        <f t="shared" si="8"/>
        <v>1140</v>
      </c>
      <c r="G18" s="8">
        <f t="shared" si="8"/>
        <v>5666.3999999999651</v>
      </c>
      <c r="H18" s="8">
        <f t="shared" si="8"/>
        <v>45331.199999999721</v>
      </c>
      <c r="I18" s="8">
        <f t="shared" si="8"/>
        <v>59.64631578947332</v>
      </c>
      <c r="J18" s="19">
        <f t="shared" si="4"/>
        <v>2.596414991851622E-2</v>
      </c>
      <c r="K18" s="20">
        <f t="shared" si="6"/>
        <v>1.5164527287795116E-2</v>
      </c>
    </row>
    <row r="19" spans="1:11" ht="21.7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2" ht="21.95" customHeight="1"/>
    <row r="43" spans="1:12" ht="29.25" customHeight="1">
      <c r="A43" s="104" t="s">
        <v>72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</row>
    <row r="44" spans="1:12" ht="21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1:12" ht="21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</row>
    <row r="46" spans="1:12" ht="21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12" ht="27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</row>
    <row r="48" spans="1:12" ht="42" customHeight="1">
      <c r="A48" s="93" t="s">
        <v>73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</row>
    <row r="49" spans="1:12" s="14" customFormat="1" ht="30" customHeight="1">
      <c r="A49" s="98" t="s">
        <v>74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</row>
    <row r="50" spans="1:12" s="14" customFormat="1" ht="50.1" customHeight="1">
      <c r="A50" s="15" t="s">
        <v>33</v>
      </c>
      <c r="B50" s="95" t="s">
        <v>75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</row>
    <row r="51" spans="1:12" s="14" customFormat="1" ht="50.1" customHeight="1">
      <c r="A51" s="99" t="s">
        <v>76</v>
      </c>
      <c r="B51" s="99"/>
      <c r="C51" s="96" t="s">
        <v>77</v>
      </c>
      <c r="D51" s="96"/>
      <c r="E51" s="96"/>
      <c r="F51" s="96"/>
      <c r="G51" s="96"/>
      <c r="H51" s="96"/>
      <c r="I51" s="96"/>
      <c r="J51" s="96"/>
      <c r="K51" s="96"/>
      <c r="L51" s="96"/>
    </row>
    <row r="52" spans="1:12" s="14" customFormat="1" ht="50.1" customHeight="1">
      <c r="A52" s="15" t="s">
        <v>35</v>
      </c>
      <c r="B52" s="15"/>
      <c r="C52" s="96" t="s">
        <v>78</v>
      </c>
      <c r="D52" s="96"/>
      <c r="E52" s="96"/>
      <c r="F52" s="96"/>
      <c r="G52" s="96"/>
      <c r="H52" s="96"/>
      <c r="I52" s="96"/>
      <c r="J52" s="96"/>
      <c r="K52" s="96"/>
      <c r="L52" s="96"/>
    </row>
    <row r="53" spans="1:12" s="14" customFormat="1" ht="30" customHeight="1">
      <c r="A53" s="98" t="s">
        <v>79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</row>
    <row r="54" spans="1:12" s="14" customFormat="1" ht="50.1" customHeight="1">
      <c r="A54" s="15" t="s">
        <v>33</v>
      </c>
      <c r="B54" s="95" t="s">
        <v>80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</row>
    <row r="55" spans="1:12" s="14" customFormat="1" ht="50.1" customHeight="1">
      <c r="A55" s="99" t="s">
        <v>34</v>
      </c>
      <c r="B55" s="99"/>
      <c r="C55" s="14" t="s">
        <v>81</v>
      </c>
      <c r="D55" s="16"/>
    </row>
    <row r="56" spans="1:12" s="14" customFormat="1" ht="50.1" customHeight="1">
      <c r="A56" s="15" t="s">
        <v>35</v>
      </c>
      <c r="B56" s="15"/>
      <c r="C56" s="14" t="s">
        <v>82</v>
      </c>
    </row>
    <row r="57" spans="1:12" s="14" customFormat="1" ht="30" customHeight="1">
      <c r="A57" s="98" t="s">
        <v>83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</row>
    <row r="58" spans="1:12" s="14" customFormat="1" ht="50.1" customHeight="1">
      <c r="A58" s="21" t="s">
        <v>84</v>
      </c>
      <c r="B58" s="95" t="s">
        <v>85</v>
      </c>
      <c r="C58" s="95"/>
      <c r="D58" s="95"/>
      <c r="E58" s="95"/>
      <c r="F58" s="95"/>
      <c r="G58" s="95"/>
      <c r="H58" s="95"/>
      <c r="I58" s="95"/>
      <c r="J58" s="95"/>
      <c r="K58" s="95"/>
      <c r="L58" s="95"/>
    </row>
    <row r="59" spans="1:12" s="14" customFormat="1" ht="50.1" customHeight="1">
      <c r="A59" s="95" t="s">
        <v>34</v>
      </c>
      <c r="B59" s="95"/>
      <c r="C59" s="14" t="s">
        <v>77</v>
      </c>
      <c r="D59" s="16"/>
    </row>
    <row r="60" spans="1:12" s="14" customFormat="1" ht="50.1" customHeight="1">
      <c r="A60" s="15" t="s">
        <v>35</v>
      </c>
      <c r="B60" s="15"/>
      <c r="C60" s="106" t="s">
        <v>86</v>
      </c>
      <c r="D60" s="107"/>
      <c r="E60" s="107"/>
      <c r="F60" s="107"/>
      <c r="G60" s="107"/>
      <c r="H60" s="107"/>
      <c r="I60" s="107"/>
      <c r="J60" s="107"/>
      <c r="K60" s="107"/>
      <c r="L60" s="107"/>
    </row>
    <row r="61" spans="1:12" s="14" customFormat="1" ht="30" customHeight="1">
      <c r="A61" s="98" t="s">
        <v>87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</row>
    <row r="62" spans="1:12" s="14" customFormat="1" ht="50.1" customHeight="1">
      <c r="A62" s="15" t="s">
        <v>33</v>
      </c>
      <c r="B62" s="15"/>
      <c r="C62" s="95" t="s">
        <v>88</v>
      </c>
      <c r="D62" s="95"/>
      <c r="E62" s="95"/>
      <c r="F62" s="95"/>
      <c r="G62" s="95"/>
      <c r="H62" s="95"/>
      <c r="I62" s="95"/>
      <c r="J62" s="95"/>
      <c r="K62" s="95"/>
      <c r="L62" s="95"/>
    </row>
    <row r="63" spans="1:12" s="14" customFormat="1" ht="50.1" customHeight="1">
      <c r="A63" s="95" t="s">
        <v>34</v>
      </c>
      <c r="B63" s="95"/>
      <c r="C63" s="14" t="s">
        <v>89</v>
      </c>
      <c r="D63" s="16"/>
    </row>
    <row r="64" spans="1:12" s="14" customFormat="1" ht="50.1" customHeight="1">
      <c r="A64" s="15" t="s">
        <v>35</v>
      </c>
      <c r="B64" s="15"/>
      <c r="C64" s="108" t="s">
        <v>90</v>
      </c>
      <c r="D64" s="107"/>
      <c r="E64" s="107"/>
      <c r="F64" s="107"/>
      <c r="G64" s="107"/>
      <c r="H64" s="107"/>
      <c r="I64" s="107"/>
      <c r="J64" s="107"/>
      <c r="K64" s="107"/>
      <c r="L64" s="107"/>
    </row>
    <row r="65" spans="1:12" s="14" customFormat="1" ht="30" customHeight="1">
      <c r="A65" s="98" t="s">
        <v>91</v>
      </c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</row>
    <row r="66" spans="1:12" s="14" customFormat="1" ht="50.1" customHeight="1">
      <c r="A66" s="21" t="s">
        <v>84</v>
      </c>
      <c r="B66" s="15"/>
      <c r="C66" s="95" t="s">
        <v>92</v>
      </c>
      <c r="D66" s="95"/>
      <c r="E66" s="95"/>
      <c r="F66" s="95"/>
      <c r="G66" s="95"/>
      <c r="H66" s="95"/>
      <c r="I66" s="95"/>
      <c r="J66" s="95"/>
      <c r="K66" s="95"/>
      <c r="L66" s="95"/>
    </row>
    <row r="67" spans="1:12" s="14" customFormat="1" ht="50.1" customHeight="1">
      <c r="A67" s="95" t="s">
        <v>34</v>
      </c>
      <c r="B67" s="95"/>
      <c r="C67" s="14" t="s">
        <v>77</v>
      </c>
    </row>
    <row r="68" spans="1:12" s="14" customFormat="1" ht="50.1" customHeight="1">
      <c r="A68" s="15" t="s">
        <v>35</v>
      </c>
      <c r="B68" s="15"/>
      <c r="C68" s="109" t="s">
        <v>86</v>
      </c>
      <c r="D68" s="107"/>
      <c r="E68" s="107"/>
      <c r="F68" s="107"/>
      <c r="G68" s="107"/>
      <c r="H68" s="107"/>
      <c r="I68" s="107"/>
      <c r="J68" s="107"/>
      <c r="K68" s="107"/>
      <c r="L68" s="107"/>
    </row>
    <row r="69" spans="1:12" s="14" customFormat="1" ht="30" customHeight="1">
      <c r="A69" s="98" t="s">
        <v>93</v>
      </c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</row>
    <row r="70" spans="1:12" s="14" customFormat="1" ht="50.1" customHeight="1">
      <c r="A70" s="15" t="s">
        <v>84</v>
      </c>
      <c r="B70" s="15"/>
      <c r="C70" s="100" t="s">
        <v>94</v>
      </c>
      <c r="D70" s="100"/>
      <c r="E70" s="100"/>
      <c r="F70" s="100"/>
      <c r="G70" s="100"/>
      <c r="H70" s="100"/>
      <c r="I70" s="100"/>
      <c r="J70" s="100"/>
      <c r="K70" s="100"/>
      <c r="L70" s="100"/>
    </row>
    <row r="71" spans="1:12" s="14" customFormat="1" ht="50.1" customHeight="1">
      <c r="A71" s="95" t="s">
        <v>34</v>
      </c>
      <c r="B71" s="95"/>
      <c r="C71" s="29" t="s">
        <v>95</v>
      </c>
      <c r="D71" s="16"/>
    </row>
    <row r="72" spans="1:12" s="14" customFormat="1" ht="50.1" customHeight="1">
      <c r="A72" s="15" t="s">
        <v>35</v>
      </c>
      <c r="B72" s="15"/>
      <c r="C72" s="96" t="s">
        <v>96</v>
      </c>
      <c r="D72" s="96"/>
      <c r="E72" s="96"/>
      <c r="F72" s="96"/>
      <c r="G72" s="96"/>
      <c r="H72" s="96"/>
      <c r="I72" s="96"/>
      <c r="J72" s="96"/>
      <c r="K72" s="96"/>
      <c r="L72" s="96"/>
    </row>
    <row r="73" spans="1:12" s="14" customFormat="1" ht="30" customHeight="1">
      <c r="A73" s="98" t="s">
        <v>97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</row>
    <row r="74" spans="1:12" s="14" customFormat="1" ht="39.950000000000003" customHeight="1">
      <c r="A74" s="15" t="s">
        <v>33</v>
      </c>
      <c r="B74" s="15"/>
      <c r="C74" s="95" t="s">
        <v>98</v>
      </c>
      <c r="D74" s="95"/>
      <c r="E74" s="95"/>
      <c r="F74" s="95"/>
      <c r="G74" s="95"/>
      <c r="H74" s="95"/>
      <c r="I74" s="95"/>
      <c r="J74" s="95"/>
      <c r="K74" s="95"/>
      <c r="L74" s="95"/>
    </row>
    <row r="75" spans="1:12" s="14" customFormat="1" ht="39.950000000000003" customHeight="1">
      <c r="A75" s="99" t="s">
        <v>34</v>
      </c>
      <c r="B75" s="99"/>
      <c r="C75" s="97" t="s">
        <v>99</v>
      </c>
      <c r="D75" s="97"/>
      <c r="E75" s="97"/>
      <c r="F75" s="97"/>
      <c r="G75" s="97"/>
      <c r="H75" s="97"/>
      <c r="I75" s="97"/>
      <c r="J75" s="97"/>
      <c r="K75" s="97"/>
      <c r="L75" s="97"/>
    </row>
    <row r="76" spans="1:12" s="14" customFormat="1" ht="39.950000000000003" customHeight="1">
      <c r="A76" s="15" t="s">
        <v>35</v>
      </c>
      <c r="B76" s="15"/>
      <c r="C76" s="96" t="s">
        <v>96</v>
      </c>
      <c r="D76" s="96"/>
      <c r="E76" s="96"/>
      <c r="F76" s="96"/>
      <c r="G76" s="96"/>
      <c r="H76" s="96"/>
      <c r="I76" s="96"/>
      <c r="J76" s="96"/>
      <c r="K76" s="96"/>
      <c r="L76" s="96"/>
    </row>
    <row r="77" spans="1:12" s="14" customFormat="1" ht="30" customHeight="1">
      <c r="A77" s="98" t="s">
        <v>100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</row>
    <row r="78" spans="1:12" s="14" customFormat="1" ht="39.950000000000003" customHeight="1">
      <c r="A78" s="15" t="s">
        <v>33</v>
      </c>
      <c r="B78" s="15"/>
      <c r="C78" s="95" t="s">
        <v>101</v>
      </c>
      <c r="D78" s="95"/>
      <c r="E78" s="95"/>
      <c r="F78" s="95"/>
      <c r="G78" s="95"/>
      <c r="H78" s="95"/>
      <c r="I78" s="95"/>
      <c r="J78" s="95"/>
      <c r="K78" s="95"/>
      <c r="L78" s="95"/>
    </row>
    <row r="79" spans="1:12" s="14" customFormat="1" ht="39.950000000000003" customHeight="1">
      <c r="A79" s="99" t="s">
        <v>34</v>
      </c>
      <c r="B79" s="99"/>
      <c r="C79" s="97" t="s">
        <v>102</v>
      </c>
      <c r="D79" s="97"/>
      <c r="E79" s="97"/>
      <c r="F79" s="97"/>
      <c r="G79" s="97"/>
      <c r="H79" s="97"/>
      <c r="I79" s="97"/>
      <c r="J79" s="97"/>
      <c r="K79" s="97"/>
      <c r="L79" s="97"/>
    </row>
    <row r="80" spans="1:12" s="14" customFormat="1" ht="39.950000000000003" customHeight="1">
      <c r="A80" s="15" t="s">
        <v>35</v>
      </c>
      <c r="B80" s="15"/>
      <c r="C80" s="96" t="s">
        <v>96</v>
      </c>
      <c r="D80" s="96"/>
      <c r="E80" s="96"/>
      <c r="F80" s="96"/>
      <c r="G80" s="96"/>
      <c r="H80" s="96"/>
      <c r="I80" s="96"/>
      <c r="J80" s="96"/>
      <c r="K80" s="96"/>
      <c r="L80" s="96"/>
    </row>
    <row r="81" spans="1:20" s="14" customFormat="1" ht="30" customHeight="1">
      <c r="A81" s="98" t="s">
        <v>103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</row>
    <row r="82" spans="1:20" s="14" customFormat="1" ht="39.950000000000003" customHeight="1">
      <c r="A82" s="15" t="s">
        <v>33</v>
      </c>
      <c r="B82" s="15"/>
      <c r="C82" s="95" t="s">
        <v>104</v>
      </c>
      <c r="D82" s="95"/>
      <c r="E82" s="95"/>
      <c r="F82" s="95"/>
      <c r="G82" s="95"/>
      <c r="H82" s="95"/>
      <c r="I82" s="95"/>
      <c r="J82" s="95"/>
      <c r="K82" s="95"/>
      <c r="L82" s="95"/>
      <c r="M82" s="17"/>
      <c r="N82" s="17"/>
      <c r="O82" s="17"/>
      <c r="P82" s="17"/>
      <c r="Q82" s="17"/>
      <c r="R82" s="17"/>
      <c r="S82" s="17"/>
      <c r="T82" s="17"/>
    </row>
    <row r="83" spans="1:20" s="14" customFormat="1" ht="39.950000000000003" customHeight="1">
      <c r="A83" s="95" t="s">
        <v>34</v>
      </c>
      <c r="B83" s="95"/>
      <c r="C83" s="110" t="s">
        <v>105</v>
      </c>
      <c r="D83" s="110"/>
      <c r="E83" s="110"/>
      <c r="F83" s="110"/>
      <c r="G83" s="110"/>
      <c r="H83" s="110"/>
      <c r="I83" s="110"/>
      <c r="J83" s="110"/>
      <c r="K83" s="110"/>
      <c r="L83" s="110"/>
      <c r="M83" s="17"/>
      <c r="N83" s="17"/>
      <c r="O83" s="17"/>
      <c r="P83" s="17"/>
      <c r="Q83" s="17"/>
      <c r="R83" s="17"/>
      <c r="S83" s="17"/>
      <c r="T83" s="17"/>
    </row>
    <row r="84" spans="1:20" s="14" customFormat="1" ht="39.950000000000003" customHeight="1">
      <c r="A84" s="15" t="s">
        <v>35</v>
      </c>
      <c r="B84" s="15"/>
      <c r="C84" s="106" t="s">
        <v>96</v>
      </c>
      <c r="D84" s="96"/>
      <c r="E84" s="96"/>
      <c r="F84" s="96"/>
      <c r="G84" s="96"/>
      <c r="H84" s="96"/>
      <c r="I84" s="96"/>
      <c r="J84" s="96"/>
      <c r="K84" s="96"/>
      <c r="L84" s="96"/>
      <c r="M84" s="17"/>
      <c r="N84" s="17"/>
      <c r="O84" s="17"/>
      <c r="P84" s="17"/>
      <c r="Q84" s="17"/>
      <c r="R84" s="17"/>
      <c r="S84" s="17"/>
      <c r="T84" s="17"/>
    </row>
    <row r="85" spans="1:20" s="14" customFormat="1" ht="30" customHeight="1">
      <c r="A85" s="98" t="s">
        <v>106</v>
      </c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</row>
    <row r="86" spans="1:20" s="18" customFormat="1" ht="39.950000000000003" customHeight="1">
      <c r="A86" s="15" t="s">
        <v>33</v>
      </c>
      <c r="B86" s="15"/>
      <c r="C86" s="95" t="s">
        <v>107</v>
      </c>
      <c r="D86" s="95"/>
      <c r="E86" s="95"/>
      <c r="F86" s="95"/>
      <c r="G86" s="95"/>
      <c r="H86" s="95"/>
      <c r="I86" s="95"/>
      <c r="J86" s="95"/>
      <c r="K86" s="95"/>
      <c r="L86" s="95"/>
    </row>
    <row r="87" spans="1:20" s="18" customFormat="1" ht="39.950000000000003" customHeight="1">
      <c r="A87" s="95" t="s">
        <v>34</v>
      </c>
      <c r="B87" s="95"/>
      <c r="C87" s="97" t="s">
        <v>108</v>
      </c>
      <c r="D87" s="97"/>
      <c r="E87" s="97"/>
      <c r="F87" s="97"/>
      <c r="G87" s="97"/>
      <c r="H87" s="97"/>
      <c r="I87" s="97"/>
      <c r="J87" s="97"/>
      <c r="K87" s="97"/>
      <c r="L87" s="97"/>
    </row>
    <row r="88" spans="1:20" s="18" customFormat="1" ht="39.950000000000003" customHeight="1">
      <c r="A88" s="15" t="s">
        <v>35</v>
      </c>
      <c r="B88" s="15"/>
      <c r="C88" s="96" t="s">
        <v>109</v>
      </c>
      <c r="D88" s="96"/>
      <c r="E88" s="96"/>
      <c r="F88" s="96"/>
      <c r="G88" s="96"/>
      <c r="H88" s="96"/>
      <c r="I88" s="96"/>
      <c r="J88" s="96"/>
      <c r="K88" s="96"/>
      <c r="L88" s="96"/>
    </row>
    <row r="89" spans="1:20" s="18" customFormat="1" ht="30" customHeight="1">
      <c r="A89" s="98" t="s">
        <v>110</v>
      </c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</row>
    <row r="90" spans="1:20" s="18" customFormat="1" ht="39.950000000000003" customHeight="1">
      <c r="A90" s="15" t="s">
        <v>33</v>
      </c>
      <c r="B90" s="15"/>
      <c r="C90" s="95" t="s">
        <v>111</v>
      </c>
      <c r="D90" s="95"/>
      <c r="E90" s="95"/>
      <c r="F90" s="95"/>
      <c r="G90" s="95"/>
      <c r="H90" s="95"/>
      <c r="I90" s="95"/>
      <c r="J90" s="95"/>
      <c r="K90" s="95"/>
      <c r="L90" s="95"/>
    </row>
    <row r="91" spans="1:20" s="18" customFormat="1" ht="39.950000000000003" customHeight="1">
      <c r="A91" s="95" t="s">
        <v>34</v>
      </c>
      <c r="B91" s="95"/>
      <c r="C91" s="97" t="s">
        <v>112</v>
      </c>
      <c r="D91" s="97"/>
      <c r="E91" s="97"/>
      <c r="F91" s="97"/>
      <c r="G91" s="97"/>
      <c r="H91" s="97"/>
      <c r="I91" s="97"/>
      <c r="J91" s="97"/>
      <c r="K91" s="97"/>
      <c r="L91" s="97"/>
    </row>
    <row r="92" spans="1:20" s="18" customFormat="1" ht="39.950000000000003" customHeight="1">
      <c r="A92" s="15" t="s">
        <v>35</v>
      </c>
      <c r="B92" s="15"/>
      <c r="C92" s="96" t="s">
        <v>113</v>
      </c>
      <c r="D92" s="96"/>
      <c r="E92" s="96"/>
      <c r="F92" s="96"/>
      <c r="G92" s="96"/>
      <c r="H92" s="96"/>
      <c r="I92" s="96"/>
      <c r="J92" s="96"/>
      <c r="K92" s="96"/>
      <c r="L92" s="96"/>
    </row>
    <row r="93" spans="1:20" s="18" customFormat="1" ht="30" customHeight="1">
      <c r="A93" s="98" t="s">
        <v>114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</row>
    <row r="94" spans="1:20" s="18" customFormat="1" ht="39.950000000000003" customHeight="1">
      <c r="A94" s="15" t="s">
        <v>33</v>
      </c>
      <c r="B94" s="15"/>
      <c r="C94" s="95" t="s">
        <v>115</v>
      </c>
      <c r="D94" s="95"/>
      <c r="E94" s="95"/>
      <c r="F94" s="95"/>
      <c r="G94" s="95"/>
      <c r="H94" s="95"/>
      <c r="I94" s="95"/>
      <c r="J94" s="95"/>
      <c r="K94" s="95"/>
      <c r="L94" s="95"/>
    </row>
    <row r="95" spans="1:20" s="18" customFormat="1" ht="39.950000000000003" customHeight="1">
      <c r="A95" s="95" t="s">
        <v>34</v>
      </c>
      <c r="B95" s="95"/>
      <c r="C95" s="97" t="s">
        <v>116</v>
      </c>
      <c r="D95" s="97"/>
      <c r="E95" s="97"/>
      <c r="F95" s="97"/>
      <c r="G95" s="97"/>
      <c r="H95" s="97"/>
      <c r="I95" s="97"/>
      <c r="J95" s="97"/>
      <c r="K95" s="97"/>
      <c r="L95" s="97"/>
    </row>
    <row r="96" spans="1:20" s="18" customFormat="1" ht="39.950000000000003" customHeight="1">
      <c r="A96" s="15" t="s">
        <v>35</v>
      </c>
      <c r="B96" s="15"/>
      <c r="C96" s="96" t="s">
        <v>117</v>
      </c>
      <c r="D96" s="96"/>
      <c r="E96" s="96"/>
      <c r="F96" s="96"/>
      <c r="G96" s="96"/>
      <c r="H96" s="96"/>
      <c r="I96" s="96"/>
      <c r="J96" s="96"/>
      <c r="K96" s="96"/>
      <c r="L96" s="96"/>
    </row>
    <row r="97" s="3" customFormat="1" ht="21.75" customHeight="1"/>
    <row r="98" s="3" customFormat="1" ht="21.75" customHeight="1"/>
  </sheetData>
  <mergeCells count="61">
    <mergeCell ref="C96:L96"/>
    <mergeCell ref="C82:L82"/>
    <mergeCell ref="C83:L83"/>
    <mergeCell ref="C84:L84"/>
    <mergeCell ref="C86:L86"/>
    <mergeCell ref="C87:L87"/>
    <mergeCell ref="C60:L60"/>
    <mergeCell ref="C62:L62"/>
    <mergeCell ref="C64:L64"/>
    <mergeCell ref="C66:L66"/>
    <mergeCell ref="C68:L68"/>
    <mergeCell ref="B50:L50"/>
    <mergeCell ref="C51:L51"/>
    <mergeCell ref="C52:L52"/>
    <mergeCell ref="B54:L54"/>
    <mergeCell ref="B58:L58"/>
    <mergeCell ref="A51:B51"/>
    <mergeCell ref="A53:L53"/>
    <mergeCell ref="A55:B55"/>
    <mergeCell ref="A57:L57"/>
    <mergeCell ref="A48:L48"/>
    <mergeCell ref="A49:L49"/>
    <mergeCell ref="A2:K2"/>
    <mergeCell ref="A3:A4"/>
    <mergeCell ref="B3:E3"/>
    <mergeCell ref="F3:I3"/>
    <mergeCell ref="J3:K3"/>
    <mergeCell ref="A43:L47"/>
    <mergeCell ref="A59:B59"/>
    <mergeCell ref="A61:L61"/>
    <mergeCell ref="A85:L85"/>
    <mergeCell ref="A63:B63"/>
    <mergeCell ref="A65:L65"/>
    <mergeCell ref="A67:B67"/>
    <mergeCell ref="A69:L69"/>
    <mergeCell ref="A71:B71"/>
    <mergeCell ref="A73:L73"/>
    <mergeCell ref="A75:B75"/>
    <mergeCell ref="A77:L77"/>
    <mergeCell ref="A79:B79"/>
    <mergeCell ref="A81:L81"/>
    <mergeCell ref="A83:B83"/>
    <mergeCell ref="C70:L70"/>
    <mergeCell ref="C72:L72"/>
    <mergeCell ref="C74:L74"/>
    <mergeCell ref="A87:B87"/>
    <mergeCell ref="A89:L89"/>
    <mergeCell ref="A91:B91"/>
    <mergeCell ref="A93:L93"/>
    <mergeCell ref="C75:L75"/>
    <mergeCell ref="C76:L76"/>
    <mergeCell ref="C78:L78"/>
    <mergeCell ref="C79:L79"/>
    <mergeCell ref="C80:L80"/>
    <mergeCell ref="A95:B95"/>
    <mergeCell ref="C88:L88"/>
    <mergeCell ref="C90:L90"/>
    <mergeCell ref="C91:L91"/>
    <mergeCell ref="C92:L92"/>
    <mergeCell ref="C94:L94"/>
    <mergeCell ref="C95:L9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92B7-30C1-46AE-92D5-07F9D97E9A3B}">
  <dimension ref="A1:T100"/>
  <sheetViews>
    <sheetView zoomScale="80" zoomScaleNormal="80" workbookViewId="0">
      <selection activeCell="M3" sqref="M3:P16"/>
    </sheetView>
  </sheetViews>
  <sheetFormatPr defaultColWidth="9.140625" defaultRowHeight="21.75" customHeight="1"/>
  <cols>
    <col min="1" max="1" width="18" style="13" customWidth="1"/>
    <col min="2" max="2" width="11.5703125" style="3" bestFit="1" customWidth="1"/>
    <col min="3" max="3" width="12.5703125" style="3" customWidth="1"/>
    <col min="4" max="4" width="14.5703125" style="3" bestFit="1" customWidth="1"/>
    <col min="5" max="7" width="12.5703125" style="3" customWidth="1"/>
    <col min="8" max="8" width="13.42578125" style="3" customWidth="1"/>
    <col min="9" max="9" width="12.5703125" style="3" customWidth="1"/>
    <col min="10" max="10" width="13" style="3" customWidth="1"/>
    <col min="11" max="11" width="15.85546875" style="3" customWidth="1"/>
    <col min="12" max="12" width="9.140625" style="3"/>
    <col min="13" max="13" width="17.5703125" style="3" bestFit="1" customWidth="1"/>
    <col min="14" max="16" width="13.140625" style="3" customWidth="1"/>
    <col min="17" max="18" width="11.28515625" style="3" bestFit="1" customWidth="1"/>
    <col min="19" max="19" width="6.140625" style="3" bestFit="1" customWidth="1"/>
    <col min="20" max="16384" width="9.140625" style="3"/>
  </cols>
  <sheetData>
    <row r="1" spans="1:16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47</v>
      </c>
      <c r="L1" s="2"/>
    </row>
    <row r="2" spans="1:16" ht="21" customHeight="1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2"/>
    </row>
    <row r="3" spans="1:16" s="5" customFormat="1" ht="21.6" customHeight="1">
      <c r="A3" s="102" t="s">
        <v>2</v>
      </c>
      <c r="B3" s="103" t="s">
        <v>50</v>
      </c>
      <c r="C3" s="103"/>
      <c r="D3" s="103"/>
      <c r="E3" s="103"/>
      <c r="F3" s="103" t="s">
        <v>118</v>
      </c>
      <c r="G3" s="103"/>
      <c r="H3" s="103"/>
      <c r="I3" s="103"/>
      <c r="J3" s="103" t="s">
        <v>5</v>
      </c>
      <c r="K3" s="103"/>
      <c r="M3" s="23" t="s">
        <v>51</v>
      </c>
      <c r="N3" s="24"/>
      <c r="O3" s="24"/>
      <c r="P3" s="24"/>
    </row>
    <row r="4" spans="1:16" s="5" customFormat="1" ht="54" customHeight="1">
      <c r="A4" s="102"/>
      <c r="B4" s="22" t="s">
        <v>6</v>
      </c>
      <c r="C4" s="22" t="s">
        <v>119</v>
      </c>
      <c r="D4" s="22" t="s">
        <v>8</v>
      </c>
      <c r="E4" s="22" t="s">
        <v>120</v>
      </c>
      <c r="F4" s="22" t="s">
        <v>6</v>
      </c>
      <c r="G4" s="22" t="s">
        <v>121</v>
      </c>
      <c r="H4" s="22" t="s">
        <v>8</v>
      </c>
      <c r="I4" s="22" t="s">
        <v>122</v>
      </c>
      <c r="J4" s="22" t="s">
        <v>123</v>
      </c>
      <c r="K4" s="22" t="s">
        <v>124</v>
      </c>
      <c r="M4" s="25"/>
      <c r="N4" s="25" t="s">
        <v>58</v>
      </c>
      <c r="O4" s="25" t="s">
        <v>59</v>
      </c>
      <c r="P4" s="25"/>
    </row>
    <row r="5" spans="1:16" ht="24.95" customHeight="1">
      <c r="A5" s="6" t="s">
        <v>14</v>
      </c>
      <c r="B5" s="9">
        <v>389</v>
      </c>
      <c r="C5" s="7">
        <v>291</v>
      </c>
      <c r="D5" s="7">
        <v>2328</v>
      </c>
      <c r="E5" s="8">
        <f>C5/B5</f>
        <v>0.74807197943444725</v>
      </c>
      <c r="F5" s="9">
        <v>705</v>
      </c>
      <c r="G5" s="9">
        <f>P5</f>
        <v>939</v>
      </c>
      <c r="H5" s="9">
        <f>G5*8</f>
        <v>7512</v>
      </c>
      <c r="I5" s="8">
        <f>G5/F5</f>
        <v>1.3319148936170213</v>
      </c>
      <c r="J5" s="19">
        <f>(G5-C5)/C5</f>
        <v>2.2268041237113403</v>
      </c>
      <c r="K5" s="20">
        <f>(I5-E5)/E5</f>
        <v>0.7804635519485269</v>
      </c>
      <c r="M5" s="26" t="s">
        <v>60</v>
      </c>
      <c r="N5" s="44">
        <v>278389.3</v>
      </c>
      <c r="O5" s="43">
        <v>277450.3</v>
      </c>
      <c r="P5" s="43">
        <f>N5-O5</f>
        <v>939</v>
      </c>
    </row>
    <row r="6" spans="1:16" ht="24.95" customHeight="1">
      <c r="A6" s="6" t="s">
        <v>15</v>
      </c>
      <c r="B6" s="9">
        <v>874</v>
      </c>
      <c r="C6" s="7">
        <v>467.29999999998836</v>
      </c>
      <c r="D6" s="7">
        <v>3738.3999999999069</v>
      </c>
      <c r="E6" s="8">
        <f t="shared" ref="E6:E16" si="0">C6/B6</f>
        <v>0.53466819221966633</v>
      </c>
      <c r="F6" s="9">
        <v>1240</v>
      </c>
      <c r="G6" s="9">
        <f t="shared" ref="G6:G16" si="1">P6</f>
        <v>447.5</v>
      </c>
      <c r="H6" s="9">
        <f t="shared" ref="H6:H16" si="2">G6*8</f>
        <v>3580</v>
      </c>
      <c r="I6" s="8">
        <f t="shared" ref="I6:I16" si="3">G6/F6</f>
        <v>0.36088709677419356</v>
      </c>
      <c r="J6" s="19">
        <f t="shared" ref="J6:J18" si="4">(G6-C6)/C6</f>
        <v>-4.2371067836483742E-2</v>
      </c>
      <c r="K6" s="20">
        <f>(I6-E6)/E6</f>
        <v>-0.32502605910410226</v>
      </c>
      <c r="M6" s="26" t="s">
        <v>61</v>
      </c>
      <c r="N6" s="44">
        <v>278836.8</v>
      </c>
      <c r="O6" s="44">
        <v>278389.3</v>
      </c>
      <c r="P6" s="43">
        <f t="shared" ref="P6:P16" si="5">N6-O6</f>
        <v>447.5</v>
      </c>
    </row>
    <row r="7" spans="1:16" ht="24.95" customHeight="1">
      <c r="A7" s="6" t="s">
        <v>16</v>
      </c>
      <c r="B7" s="9">
        <v>1374</v>
      </c>
      <c r="C7" s="7">
        <v>507.59999999997672</v>
      </c>
      <c r="D7" s="7">
        <v>4060.7999999998137</v>
      </c>
      <c r="E7" s="8">
        <f t="shared" si="0"/>
        <v>0.36943231441046342</v>
      </c>
      <c r="F7" s="9">
        <v>1420</v>
      </c>
      <c r="G7" s="9">
        <f t="shared" si="1"/>
        <v>555</v>
      </c>
      <c r="H7" s="9">
        <f t="shared" si="2"/>
        <v>4440</v>
      </c>
      <c r="I7" s="8">
        <f t="shared" si="3"/>
        <v>0.39084507042253519</v>
      </c>
      <c r="J7" s="19">
        <f t="shared" si="4"/>
        <v>9.3380614657260552E-2</v>
      </c>
      <c r="K7" s="20">
        <f t="shared" ref="K7:K18" si="6">(I7-E7)/E7</f>
        <v>5.7961242633151999E-2</v>
      </c>
      <c r="M7" s="26" t="s">
        <v>62</v>
      </c>
      <c r="N7" s="44">
        <v>279391.8</v>
      </c>
      <c r="O7" s="44">
        <v>278836.8</v>
      </c>
      <c r="P7" s="43">
        <f t="shared" si="5"/>
        <v>555</v>
      </c>
    </row>
    <row r="8" spans="1:16" ht="24.95" customHeight="1">
      <c r="A8" s="6" t="s">
        <v>17</v>
      </c>
      <c r="B8" s="9">
        <v>684</v>
      </c>
      <c r="C8" s="7">
        <v>452.29999999998836</v>
      </c>
      <c r="D8" s="7">
        <v>3618.3999999999069</v>
      </c>
      <c r="E8" s="8">
        <f t="shared" si="0"/>
        <v>0.66125730994150345</v>
      </c>
      <c r="F8" s="9">
        <v>640</v>
      </c>
      <c r="G8" s="9">
        <f t="shared" si="1"/>
        <v>594.60000000003492</v>
      </c>
      <c r="H8" s="9">
        <f t="shared" si="2"/>
        <v>4756.8000000002794</v>
      </c>
      <c r="I8" s="8">
        <f t="shared" si="3"/>
        <v>0.92906250000005453</v>
      </c>
      <c r="J8" s="19">
        <f t="shared" si="4"/>
        <v>0.31461419411905867</v>
      </c>
      <c r="K8" s="20">
        <f t="shared" si="6"/>
        <v>0.40499391996474388</v>
      </c>
      <c r="M8" s="26" t="s">
        <v>63</v>
      </c>
      <c r="N8" s="43">
        <v>279986.40000000002</v>
      </c>
      <c r="O8" s="44">
        <v>279391.8</v>
      </c>
      <c r="P8" s="43">
        <f t="shared" si="5"/>
        <v>594.60000000003492</v>
      </c>
    </row>
    <row r="9" spans="1:16" ht="24.95" customHeight="1">
      <c r="A9" s="6" t="s">
        <v>18</v>
      </c>
      <c r="B9" s="9">
        <v>824</v>
      </c>
      <c r="C9" s="7">
        <v>408.70000000001164</v>
      </c>
      <c r="D9" s="7">
        <v>3269.6000000000931</v>
      </c>
      <c r="E9" s="8">
        <f t="shared" si="0"/>
        <v>0.4959951456310821</v>
      </c>
      <c r="F9" s="9">
        <v>790</v>
      </c>
      <c r="G9" s="9">
        <f t="shared" si="1"/>
        <v>697.29999999998836</v>
      </c>
      <c r="H9" s="9">
        <f t="shared" si="2"/>
        <v>5578.3999999999069</v>
      </c>
      <c r="I9" s="8">
        <f t="shared" si="3"/>
        <v>0.88265822784808656</v>
      </c>
      <c r="J9" s="19">
        <f t="shared" si="4"/>
        <v>0.70614142402732694</v>
      </c>
      <c r="K9" s="20">
        <f t="shared" si="6"/>
        <v>0.77957029544116119</v>
      </c>
      <c r="M9" s="26" t="s">
        <v>64</v>
      </c>
      <c r="N9" s="43">
        <v>280683.7</v>
      </c>
      <c r="O9" s="43">
        <v>279986.40000000002</v>
      </c>
      <c r="P9" s="43">
        <f t="shared" si="5"/>
        <v>697.29999999998836</v>
      </c>
    </row>
    <row r="10" spans="1:16" ht="24.95" customHeight="1">
      <c r="A10" s="6" t="s">
        <v>19</v>
      </c>
      <c r="B10" s="9">
        <v>1289</v>
      </c>
      <c r="C10" s="7">
        <v>369</v>
      </c>
      <c r="D10" s="7">
        <v>2952</v>
      </c>
      <c r="E10" s="8">
        <f t="shared" si="0"/>
        <v>0.28626842513576417</v>
      </c>
      <c r="F10" s="9">
        <v>2050</v>
      </c>
      <c r="G10" s="9">
        <f t="shared" si="1"/>
        <v>662.70000000001164</v>
      </c>
      <c r="H10" s="9">
        <f>G10*8</f>
        <v>5301.6000000000931</v>
      </c>
      <c r="I10" s="8">
        <f t="shared" si="3"/>
        <v>0.3232682926829325</v>
      </c>
      <c r="J10" s="19">
        <f t="shared" si="4"/>
        <v>0.79593495934962499</v>
      </c>
      <c r="K10" s="20">
        <f t="shared" si="6"/>
        <v>0.12924885980569098</v>
      </c>
      <c r="M10" s="26" t="s">
        <v>65</v>
      </c>
      <c r="N10" s="43">
        <v>281346.40000000002</v>
      </c>
      <c r="O10" s="43">
        <v>280683.7</v>
      </c>
      <c r="P10" s="43">
        <f t="shared" si="5"/>
        <v>662.70000000001164</v>
      </c>
    </row>
    <row r="11" spans="1:16" ht="24.95" customHeight="1">
      <c r="A11" s="6" t="s">
        <v>20</v>
      </c>
      <c r="B11" s="9">
        <v>1824</v>
      </c>
      <c r="C11" s="7">
        <v>462.10000000003492</v>
      </c>
      <c r="D11" s="7">
        <v>3696.8000000002794</v>
      </c>
      <c r="E11" s="8">
        <f t="shared" si="0"/>
        <v>0.2533442982456332</v>
      </c>
      <c r="F11" s="9">
        <v>1305</v>
      </c>
      <c r="G11" s="9">
        <f t="shared" si="1"/>
        <v>642.69999999995343</v>
      </c>
      <c r="H11" s="9">
        <f>G11*8</f>
        <v>5141.5999999996275</v>
      </c>
      <c r="I11" s="8">
        <f t="shared" si="3"/>
        <v>0.49249042145590299</v>
      </c>
      <c r="J11" s="19">
        <f t="shared" si="4"/>
        <v>0.39082449686194515</v>
      </c>
      <c r="K11" s="20">
        <f t="shared" si="6"/>
        <v>0.94395699791278742</v>
      </c>
      <c r="M11" s="26" t="s">
        <v>66</v>
      </c>
      <c r="N11" s="43">
        <v>281989.09999999998</v>
      </c>
      <c r="O11" s="43">
        <v>281346.40000000002</v>
      </c>
      <c r="P11" s="43">
        <f t="shared" si="5"/>
        <v>642.69999999995343</v>
      </c>
    </row>
    <row r="12" spans="1:16" ht="24.95" customHeight="1">
      <c r="A12" s="6" t="s">
        <v>21</v>
      </c>
      <c r="B12" s="9">
        <v>1859</v>
      </c>
      <c r="C12" s="7">
        <v>348.59999999997672</v>
      </c>
      <c r="D12" s="7">
        <v>2788.7999999998137</v>
      </c>
      <c r="E12" s="8">
        <f t="shared" si="0"/>
        <v>0.18752017213554423</v>
      </c>
      <c r="F12" s="9">
        <v>1375</v>
      </c>
      <c r="G12" s="9">
        <f t="shared" si="1"/>
        <v>696.5</v>
      </c>
      <c r="H12" s="9">
        <f t="shared" si="2"/>
        <v>5572</v>
      </c>
      <c r="I12" s="8">
        <f t="shared" si="3"/>
        <v>0.50654545454545452</v>
      </c>
      <c r="J12" s="19">
        <f t="shared" si="4"/>
        <v>0.99799196787161937</v>
      </c>
      <c r="K12" s="20">
        <f t="shared" si="6"/>
        <v>1.7012851405624292</v>
      </c>
      <c r="M12" s="26" t="s">
        <v>67</v>
      </c>
      <c r="N12" s="43">
        <v>282685.59999999998</v>
      </c>
      <c r="O12" s="43">
        <v>281989.09999999998</v>
      </c>
      <c r="P12" s="43">
        <f t="shared" si="5"/>
        <v>696.5</v>
      </c>
    </row>
    <row r="13" spans="1:16" ht="24.95" customHeight="1">
      <c r="A13" s="6" t="s">
        <v>22</v>
      </c>
      <c r="B13" s="9">
        <v>3184</v>
      </c>
      <c r="C13" s="7">
        <v>355.5</v>
      </c>
      <c r="D13" s="7">
        <v>2844</v>
      </c>
      <c r="E13" s="8">
        <f t="shared" si="0"/>
        <v>0.11165201005025126</v>
      </c>
      <c r="F13" s="9">
        <v>1245</v>
      </c>
      <c r="G13" s="9">
        <f t="shared" si="1"/>
        <v>734.10000000003492</v>
      </c>
      <c r="H13" s="9">
        <f t="shared" si="2"/>
        <v>5872.8000000002794</v>
      </c>
      <c r="I13" s="8">
        <f t="shared" si="3"/>
        <v>0.58963855421689548</v>
      </c>
      <c r="J13" s="19">
        <f t="shared" si="4"/>
        <v>1.0649789029536847</v>
      </c>
      <c r="K13" s="20">
        <f t="shared" si="6"/>
        <v>4.2810384152646836</v>
      </c>
      <c r="M13" s="26" t="s">
        <v>68</v>
      </c>
      <c r="N13" s="43">
        <v>283419.7</v>
      </c>
      <c r="O13" s="43">
        <v>282685.59999999998</v>
      </c>
      <c r="P13" s="43">
        <f t="shared" si="5"/>
        <v>734.10000000003492</v>
      </c>
    </row>
    <row r="14" spans="1:16" ht="24.95" customHeight="1">
      <c r="A14" s="6" t="s">
        <v>23</v>
      </c>
      <c r="B14" s="9">
        <v>1084</v>
      </c>
      <c r="C14" s="7">
        <v>463.59999999997672</v>
      </c>
      <c r="D14" s="7">
        <v>3708.7999999998137</v>
      </c>
      <c r="E14" s="8">
        <f t="shared" si="0"/>
        <v>0.42767527675274603</v>
      </c>
      <c r="F14" s="9">
        <v>1010</v>
      </c>
      <c r="G14" s="9">
        <f t="shared" si="1"/>
        <v>599.39999999996508</v>
      </c>
      <c r="H14" s="9">
        <f t="shared" si="2"/>
        <v>4795.1999999997206</v>
      </c>
      <c r="I14" s="8">
        <f t="shared" si="3"/>
        <v>0.59346534653461891</v>
      </c>
      <c r="J14" s="19">
        <f t="shared" si="4"/>
        <v>0.29292493528903185</v>
      </c>
      <c r="K14" s="20">
        <f t="shared" si="6"/>
        <v>0.38765408896367393</v>
      </c>
      <c r="M14" s="26" t="s">
        <v>69</v>
      </c>
      <c r="N14" s="43">
        <v>284019.09999999998</v>
      </c>
      <c r="O14" s="43">
        <v>283419.7</v>
      </c>
      <c r="P14" s="43">
        <f t="shared" si="5"/>
        <v>599.39999999996508</v>
      </c>
    </row>
    <row r="15" spans="1:16" ht="24.95" customHeight="1">
      <c r="A15" s="6" t="s">
        <v>24</v>
      </c>
      <c r="B15" s="9">
        <v>1049</v>
      </c>
      <c r="C15" s="7">
        <v>508.10000000003492</v>
      </c>
      <c r="D15" s="7">
        <v>4064.8000000002794</v>
      </c>
      <c r="E15" s="8">
        <f t="shared" si="0"/>
        <v>0.48436606291709716</v>
      </c>
      <c r="F15" s="9">
        <v>815</v>
      </c>
      <c r="G15" s="9">
        <f t="shared" si="1"/>
        <v>840.60000000003492</v>
      </c>
      <c r="H15" s="9">
        <f t="shared" si="2"/>
        <v>6724.8000000002794</v>
      </c>
      <c r="I15" s="8">
        <f t="shared" si="3"/>
        <v>1.0314110429448282</v>
      </c>
      <c r="J15" s="19">
        <f t="shared" si="4"/>
        <v>0.65439874040538704</v>
      </c>
      <c r="K15" s="20">
        <f t="shared" si="6"/>
        <v>1.1294040229266886</v>
      </c>
      <c r="M15" s="26" t="s">
        <v>70</v>
      </c>
      <c r="N15" s="43">
        <v>284859.7</v>
      </c>
      <c r="O15" s="43">
        <v>284019.09999999998</v>
      </c>
      <c r="P15" s="43">
        <f t="shared" si="5"/>
        <v>840.60000000003492</v>
      </c>
    </row>
    <row r="16" spans="1:16" ht="24.95" customHeight="1">
      <c r="A16" s="6" t="s">
        <v>25</v>
      </c>
      <c r="B16" s="9">
        <v>959</v>
      </c>
      <c r="C16" s="7">
        <v>1032.5999999999767</v>
      </c>
      <c r="D16" s="7">
        <v>8260.7999999998137</v>
      </c>
      <c r="E16" s="8">
        <f t="shared" si="0"/>
        <v>1.0767466110531561</v>
      </c>
      <c r="F16" s="9">
        <v>940</v>
      </c>
      <c r="G16" s="9">
        <f t="shared" si="1"/>
        <v>928.09999999997672</v>
      </c>
      <c r="H16" s="9">
        <f t="shared" si="2"/>
        <v>7424.7999999998137</v>
      </c>
      <c r="I16" s="8">
        <f t="shared" si="3"/>
        <v>0.98734042553189016</v>
      </c>
      <c r="J16" s="19">
        <f t="shared" si="4"/>
        <v>-0.10120085221770517</v>
      </c>
      <c r="K16" s="20">
        <f t="shared" si="6"/>
        <v>-8.3033635400828906E-2</v>
      </c>
      <c r="M16" s="26" t="s">
        <v>71</v>
      </c>
      <c r="N16" s="43">
        <v>285787.8</v>
      </c>
      <c r="O16" s="43">
        <v>284859.7</v>
      </c>
      <c r="P16" s="43">
        <f t="shared" si="5"/>
        <v>928.09999999997672</v>
      </c>
    </row>
    <row r="17" spans="1:11" ht="24.95" customHeight="1">
      <c r="A17" s="6" t="s">
        <v>26</v>
      </c>
      <c r="B17" s="8">
        <f>AVERAGE(B5:B16)</f>
        <v>1282.75</v>
      </c>
      <c r="C17" s="8">
        <f t="shared" ref="C17:H17" si="7">AVERAGE(C5:C16)</f>
        <v>472.19999999999709</v>
      </c>
      <c r="D17" s="8">
        <f t="shared" si="7"/>
        <v>3777.5999999999767</v>
      </c>
      <c r="E17" s="8">
        <f t="shared" si="7"/>
        <v>0.46974981649394615</v>
      </c>
      <c r="F17" s="8">
        <f t="shared" si="7"/>
        <v>1127.9166666666667</v>
      </c>
      <c r="G17" s="8">
        <f>AVERAGE(G5:G16)</f>
        <v>694.79166666666663</v>
      </c>
      <c r="H17" s="8">
        <f t="shared" si="7"/>
        <v>5558.333333333333</v>
      </c>
      <c r="I17" s="8">
        <f>G17/F17</f>
        <v>0.61599556704839298</v>
      </c>
      <c r="J17" s="19">
        <f>(G17-C17)/C17</f>
        <v>0.47139277142454661</v>
      </c>
      <c r="K17" s="20">
        <f>(I17-E17)/E17</f>
        <v>0.31132689235724598</v>
      </c>
    </row>
    <row r="18" spans="1:11" ht="24.95" customHeight="1">
      <c r="A18" s="6" t="s">
        <v>27</v>
      </c>
      <c r="B18" s="8">
        <f t="shared" ref="B18:I18" si="8">SUM(B5:B16)</f>
        <v>15393</v>
      </c>
      <c r="C18" s="8">
        <f t="shared" si="8"/>
        <v>5666.3999999999651</v>
      </c>
      <c r="D18" s="8">
        <f t="shared" si="8"/>
        <v>45331.199999999721</v>
      </c>
      <c r="E18" s="8">
        <f t="shared" si="8"/>
        <v>5.6369977979273536</v>
      </c>
      <c r="F18" s="8">
        <f t="shared" si="8"/>
        <v>13535</v>
      </c>
      <c r="G18" s="8">
        <f t="shared" si="8"/>
        <v>8337.5</v>
      </c>
      <c r="H18" s="8">
        <f t="shared" si="8"/>
        <v>66700</v>
      </c>
      <c r="I18" s="8">
        <f t="shared" si="8"/>
        <v>8.4195273265744142</v>
      </c>
      <c r="J18" s="19">
        <f t="shared" si="4"/>
        <v>0.47139277142454672</v>
      </c>
      <c r="K18" s="20">
        <f t="shared" si="6"/>
        <v>0.49361905546072032</v>
      </c>
    </row>
    <row r="19" spans="1:11" ht="21.7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2" ht="21.95" customHeight="1"/>
    <row r="43" spans="1:12" ht="29.25" customHeight="1">
      <c r="A43" s="104" t="s">
        <v>125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</row>
    <row r="44" spans="1:12" ht="21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1:12" ht="21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</row>
    <row r="46" spans="1:12" ht="21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12" ht="27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</row>
    <row r="48" spans="1:12" ht="27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ht="27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 ht="42" customHeight="1">
      <c r="A50" s="93" t="s">
        <v>126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</row>
    <row r="51" spans="1:12" s="14" customFormat="1" ht="30" customHeight="1">
      <c r="A51" s="98" t="s">
        <v>127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</row>
    <row r="52" spans="1:12" s="14" customFormat="1" ht="50.1" customHeight="1">
      <c r="A52" s="15" t="s">
        <v>33</v>
      </c>
      <c r="B52" s="95" t="s">
        <v>128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</row>
    <row r="53" spans="1:12" s="14" customFormat="1" ht="50.1" customHeight="1">
      <c r="A53" s="99" t="s">
        <v>76</v>
      </c>
      <c r="B53" s="99"/>
      <c r="C53" s="96" t="s">
        <v>129</v>
      </c>
      <c r="D53" s="96"/>
      <c r="E53" s="96"/>
      <c r="F53" s="96"/>
      <c r="G53" s="96"/>
      <c r="H53" s="96"/>
      <c r="I53" s="96"/>
      <c r="J53" s="96"/>
      <c r="K53" s="96"/>
      <c r="L53" s="96"/>
    </row>
    <row r="54" spans="1:12" s="14" customFormat="1" ht="50.1" customHeight="1">
      <c r="A54" s="15" t="s">
        <v>35</v>
      </c>
      <c r="B54" s="15"/>
      <c r="C54" s="96" t="s">
        <v>130</v>
      </c>
      <c r="D54" s="96"/>
      <c r="E54" s="96"/>
      <c r="F54" s="96"/>
      <c r="G54" s="96"/>
      <c r="H54" s="96"/>
      <c r="I54" s="96"/>
      <c r="J54" s="96"/>
      <c r="K54" s="96"/>
      <c r="L54" s="96"/>
    </row>
    <row r="55" spans="1:12" s="14" customFormat="1" ht="30" customHeight="1">
      <c r="A55" s="98" t="s">
        <v>131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</row>
    <row r="56" spans="1:12" s="14" customFormat="1" ht="50.1" customHeight="1">
      <c r="A56" s="15" t="s">
        <v>33</v>
      </c>
      <c r="B56" s="95" t="s">
        <v>132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</row>
    <row r="57" spans="1:12" s="14" customFormat="1" ht="50.1" customHeight="1">
      <c r="A57" s="99" t="s">
        <v>76</v>
      </c>
      <c r="B57" s="99"/>
      <c r="C57" s="97" t="s">
        <v>133</v>
      </c>
      <c r="D57" s="97"/>
      <c r="E57" s="97"/>
      <c r="F57" s="97"/>
      <c r="G57" s="97"/>
      <c r="H57" s="97"/>
      <c r="I57" s="97"/>
      <c r="J57" s="97"/>
      <c r="K57" s="97"/>
      <c r="L57" s="97"/>
    </row>
    <row r="58" spans="1:12" s="14" customFormat="1" ht="50.1" customHeight="1">
      <c r="A58" s="15" t="s">
        <v>35</v>
      </c>
      <c r="B58" s="106" t="s">
        <v>130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</row>
    <row r="59" spans="1:12" s="14" customFormat="1" ht="30" customHeight="1">
      <c r="A59" s="98" t="s">
        <v>134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</row>
    <row r="60" spans="1:12" s="14" customFormat="1" ht="50.1" customHeight="1">
      <c r="A60" s="15" t="s">
        <v>33</v>
      </c>
      <c r="B60" s="95" t="s">
        <v>135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</row>
    <row r="61" spans="1:12" s="14" customFormat="1" ht="50.1" customHeight="1">
      <c r="A61" s="99" t="s">
        <v>76</v>
      </c>
      <c r="B61" s="99"/>
      <c r="C61" s="97" t="s">
        <v>136</v>
      </c>
      <c r="D61" s="97"/>
      <c r="E61" s="97"/>
      <c r="F61" s="97"/>
      <c r="G61" s="97"/>
      <c r="H61" s="97"/>
      <c r="I61" s="97"/>
      <c r="J61" s="97"/>
      <c r="K61" s="97"/>
      <c r="L61" s="97"/>
    </row>
    <row r="62" spans="1:12" s="14" customFormat="1" ht="50.1" customHeight="1">
      <c r="A62" s="15" t="s">
        <v>35</v>
      </c>
      <c r="B62" s="15"/>
      <c r="C62" s="97" t="s">
        <v>137</v>
      </c>
      <c r="D62" s="97"/>
      <c r="E62" s="97"/>
      <c r="F62" s="97"/>
      <c r="G62" s="97"/>
      <c r="H62" s="97"/>
      <c r="I62" s="97"/>
      <c r="J62" s="97"/>
      <c r="K62" s="97"/>
      <c r="L62" s="97"/>
    </row>
    <row r="63" spans="1:12" s="14" customFormat="1" ht="30" customHeight="1">
      <c r="A63" s="98" t="s">
        <v>138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</row>
    <row r="64" spans="1:12" s="14" customFormat="1" ht="50.1" customHeight="1">
      <c r="A64" s="21" t="s">
        <v>84</v>
      </c>
      <c r="B64" s="15"/>
      <c r="C64" s="95" t="s">
        <v>139</v>
      </c>
      <c r="D64" s="95"/>
      <c r="E64" s="95"/>
      <c r="F64" s="95"/>
      <c r="G64" s="95"/>
      <c r="H64" s="95"/>
      <c r="I64" s="95"/>
      <c r="J64" s="95"/>
      <c r="K64" s="95"/>
      <c r="L64" s="95"/>
    </row>
    <row r="65" spans="1:12" s="14" customFormat="1" ht="50.1" customHeight="1">
      <c r="A65" s="95" t="s">
        <v>34</v>
      </c>
      <c r="B65" s="95"/>
      <c r="C65" s="97" t="s">
        <v>140</v>
      </c>
      <c r="D65" s="97"/>
      <c r="E65" s="97"/>
      <c r="F65" s="97"/>
      <c r="G65" s="97"/>
      <c r="H65" s="97"/>
      <c r="I65" s="97"/>
      <c r="J65" s="97"/>
      <c r="K65" s="97"/>
      <c r="L65" s="97"/>
    </row>
    <row r="66" spans="1:12" s="14" customFormat="1" ht="50.1" customHeight="1">
      <c r="A66" s="15" t="s">
        <v>35</v>
      </c>
      <c r="B66" s="15"/>
      <c r="C66" s="96" t="s">
        <v>141</v>
      </c>
      <c r="D66" s="96"/>
      <c r="E66" s="96"/>
      <c r="F66" s="96"/>
      <c r="G66" s="96"/>
      <c r="H66" s="96"/>
      <c r="I66" s="96"/>
      <c r="J66" s="96"/>
      <c r="K66" s="96"/>
      <c r="L66" s="96"/>
    </row>
    <row r="67" spans="1:12" s="14" customFormat="1" ht="30" customHeight="1">
      <c r="A67" s="98" t="s">
        <v>142</v>
      </c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</row>
    <row r="68" spans="1:12" s="14" customFormat="1" ht="50.1" customHeight="1">
      <c r="A68" s="21" t="s">
        <v>84</v>
      </c>
      <c r="B68" s="15"/>
      <c r="C68" s="95" t="s">
        <v>143</v>
      </c>
      <c r="D68" s="95"/>
      <c r="E68" s="95"/>
      <c r="F68" s="95"/>
      <c r="G68" s="95"/>
      <c r="H68" s="95"/>
      <c r="I68" s="95"/>
      <c r="J68" s="95"/>
      <c r="K68" s="95"/>
      <c r="L68" s="95"/>
    </row>
    <row r="69" spans="1:12" s="14" customFormat="1" ht="50.1" customHeight="1">
      <c r="A69" s="95" t="s">
        <v>34</v>
      </c>
      <c r="B69" s="95"/>
      <c r="C69" s="97" t="s">
        <v>144</v>
      </c>
      <c r="D69" s="97"/>
      <c r="E69" s="97"/>
      <c r="F69" s="97"/>
      <c r="G69" s="97"/>
      <c r="H69" s="97"/>
      <c r="I69" s="97"/>
      <c r="J69" s="97"/>
      <c r="K69" s="97"/>
      <c r="L69" s="97"/>
    </row>
    <row r="70" spans="1:12" s="14" customFormat="1" ht="50.1" customHeight="1">
      <c r="A70" s="15" t="s">
        <v>35</v>
      </c>
      <c r="B70" s="15"/>
      <c r="C70" s="110" t="s">
        <v>145</v>
      </c>
      <c r="D70" s="110"/>
      <c r="E70" s="110"/>
      <c r="F70" s="110"/>
      <c r="G70" s="110"/>
      <c r="H70" s="110"/>
      <c r="I70" s="110"/>
      <c r="J70" s="110"/>
      <c r="K70" s="110"/>
      <c r="L70" s="110"/>
    </row>
    <row r="71" spans="1:12" s="14" customFormat="1" ht="30" customHeight="1">
      <c r="A71" s="98" t="s">
        <v>146</v>
      </c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</row>
    <row r="72" spans="1:12" s="14" customFormat="1" ht="50.1" customHeight="1">
      <c r="A72" s="21" t="s">
        <v>84</v>
      </c>
      <c r="B72" s="15"/>
      <c r="C72" s="95" t="s">
        <v>147</v>
      </c>
      <c r="D72" s="95"/>
      <c r="E72" s="95"/>
      <c r="F72" s="95"/>
      <c r="G72" s="95"/>
      <c r="H72" s="95"/>
      <c r="I72" s="95"/>
      <c r="J72" s="95"/>
      <c r="K72" s="95"/>
      <c r="L72" s="95"/>
    </row>
    <row r="73" spans="1:12" s="14" customFormat="1" ht="50.1" customHeight="1">
      <c r="A73" s="95" t="s">
        <v>34</v>
      </c>
      <c r="B73" s="95"/>
      <c r="C73" s="111" t="s">
        <v>148</v>
      </c>
      <c r="D73" s="100"/>
      <c r="E73" s="100"/>
      <c r="F73" s="100"/>
      <c r="G73" s="100"/>
      <c r="H73" s="100"/>
      <c r="I73" s="100"/>
      <c r="J73" s="100"/>
      <c r="K73" s="100"/>
      <c r="L73" s="100"/>
    </row>
    <row r="74" spans="1:12" s="14" customFormat="1" ht="50.1" customHeight="1">
      <c r="A74" s="15" t="s">
        <v>35</v>
      </c>
      <c r="B74" s="15"/>
      <c r="C74" s="96" t="s">
        <v>149</v>
      </c>
      <c r="D74" s="96"/>
      <c r="E74" s="96"/>
      <c r="F74" s="96"/>
      <c r="G74" s="96"/>
      <c r="H74" s="96"/>
      <c r="I74" s="96"/>
      <c r="J74" s="96"/>
      <c r="K74" s="96"/>
      <c r="L74" s="96"/>
    </row>
    <row r="75" spans="1:12" s="14" customFormat="1" ht="30" customHeight="1">
      <c r="A75" s="98" t="s">
        <v>150</v>
      </c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</row>
    <row r="76" spans="1:12" s="14" customFormat="1" ht="39.950000000000003" customHeight="1">
      <c r="A76" s="15" t="s">
        <v>33</v>
      </c>
      <c r="B76" s="15"/>
      <c r="C76" s="95" t="s">
        <v>151</v>
      </c>
      <c r="D76" s="95"/>
      <c r="E76" s="95"/>
      <c r="F76" s="95"/>
      <c r="G76" s="95"/>
      <c r="H76" s="95"/>
      <c r="I76" s="95"/>
      <c r="J76" s="95"/>
      <c r="K76" s="95"/>
      <c r="L76" s="95"/>
    </row>
    <row r="77" spans="1:12" s="14" customFormat="1" ht="39.950000000000003" customHeight="1">
      <c r="A77" s="99" t="s">
        <v>34</v>
      </c>
      <c r="B77" s="99"/>
      <c r="C77" s="97" t="s">
        <v>152</v>
      </c>
      <c r="D77" s="97"/>
      <c r="E77" s="97"/>
      <c r="F77" s="97"/>
      <c r="G77" s="97"/>
      <c r="H77" s="97"/>
      <c r="I77" s="97"/>
      <c r="J77" s="97"/>
      <c r="K77" s="97"/>
      <c r="L77" s="97"/>
    </row>
    <row r="78" spans="1:12" s="14" customFormat="1" ht="39.950000000000003" customHeight="1">
      <c r="A78" s="15" t="s">
        <v>35</v>
      </c>
      <c r="B78" s="15"/>
      <c r="C78" s="96" t="s">
        <v>130</v>
      </c>
      <c r="D78" s="96"/>
      <c r="E78" s="96"/>
      <c r="F78" s="96"/>
      <c r="G78" s="96"/>
      <c r="H78" s="96"/>
      <c r="I78" s="96"/>
      <c r="J78" s="96"/>
      <c r="K78" s="96"/>
      <c r="L78" s="96"/>
    </row>
    <row r="79" spans="1:12" s="14" customFormat="1" ht="30" customHeight="1">
      <c r="A79" s="98" t="s">
        <v>153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</row>
    <row r="80" spans="1:12" s="14" customFormat="1" ht="39.950000000000003" customHeight="1">
      <c r="A80" s="15" t="s">
        <v>33</v>
      </c>
      <c r="B80" s="15"/>
      <c r="C80" s="95" t="s">
        <v>154</v>
      </c>
      <c r="D80" s="95"/>
      <c r="E80" s="95"/>
      <c r="F80" s="95"/>
      <c r="G80" s="95"/>
      <c r="H80" s="95"/>
      <c r="I80" s="95"/>
      <c r="J80" s="95"/>
      <c r="K80" s="95"/>
      <c r="L80" s="95"/>
    </row>
    <row r="81" spans="1:20" s="14" customFormat="1" ht="39.950000000000003" customHeight="1">
      <c r="A81" s="99" t="s">
        <v>34</v>
      </c>
      <c r="B81" s="99"/>
      <c r="C81" s="97" t="s">
        <v>155</v>
      </c>
      <c r="D81" s="97"/>
      <c r="E81" s="97"/>
      <c r="F81" s="97"/>
      <c r="G81" s="97"/>
      <c r="H81" s="97"/>
      <c r="I81" s="97"/>
      <c r="J81" s="97"/>
      <c r="K81" s="97"/>
      <c r="L81" s="97"/>
    </row>
    <row r="82" spans="1:20" s="14" customFormat="1" ht="39.950000000000003" customHeight="1">
      <c r="A82" s="15" t="s">
        <v>35</v>
      </c>
      <c r="B82" s="15"/>
      <c r="C82" s="96" t="s">
        <v>130</v>
      </c>
      <c r="D82" s="96"/>
      <c r="E82" s="96"/>
      <c r="F82" s="96"/>
      <c r="G82" s="96"/>
      <c r="H82" s="96"/>
      <c r="I82" s="96"/>
      <c r="J82" s="96"/>
      <c r="K82" s="96"/>
      <c r="L82" s="96"/>
    </row>
    <row r="83" spans="1:20" s="14" customFormat="1" ht="30" customHeight="1">
      <c r="A83" s="98" t="s">
        <v>156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</row>
    <row r="84" spans="1:20" s="14" customFormat="1" ht="39.950000000000003" customHeight="1">
      <c r="A84" s="15" t="s">
        <v>33</v>
      </c>
      <c r="B84" s="15"/>
      <c r="C84" s="95" t="s">
        <v>157</v>
      </c>
      <c r="D84" s="95"/>
      <c r="E84" s="95"/>
      <c r="F84" s="95"/>
      <c r="G84" s="95"/>
      <c r="H84" s="95"/>
      <c r="I84" s="95"/>
      <c r="J84" s="95"/>
      <c r="K84" s="95"/>
      <c r="L84" s="95"/>
      <c r="M84" s="17"/>
      <c r="N84" s="17"/>
      <c r="O84" s="17"/>
      <c r="P84" s="17"/>
      <c r="Q84" s="17"/>
      <c r="R84" s="17"/>
      <c r="S84" s="17"/>
      <c r="T84" s="17"/>
    </row>
    <row r="85" spans="1:20" s="14" customFormat="1" ht="39.950000000000003" customHeight="1">
      <c r="A85" s="95" t="s">
        <v>34</v>
      </c>
      <c r="B85" s="95"/>
      <c r="C85" s="97" t="s">
        <v>158</v>
      </c>
      <c r="D85" s="97"/>
      <c r="E85" s="97"/>
      <c r="F85" s="97"/>
      <c r="G85" s="97"/>
      <c r="H85" s="97"/>
      <c r="I85" s="97"/>
      <c r="J85" s="97"/>
      <c r="K85" s="97"/>
      <c r="L85" s="97"/>
      <c r="M85" s="17"/>
      <c r="N85" s="17"/>
      <c r="O85" s="17"/>
      <c r="P85" s="17"/>
      <c r="Q85" s="17"/>
      <c r="R85" s="17"/>
      <c r="S85" s="17"/>
      <c r="T85" s="17"/>
    </row>
    <row r="86" spans="1:20" s="14" customFormat="1" ht="39.950000000000003" customHeight="1">
      <c r="A86" s="15" t="s">
        <v>35</v>
      </c>
      <c r="B86" s="15"/>
      <c r="C86" s="96" t="s">
        <v>130</v>
      </c>
      <c r="D86" s="96"/>
      <c r="E86" s="96"/>
      <c r="F86" s="96"/>
      <c r="G86" s="96"/>
      <c r="H86" s="96"/>
      <c r="I86" s="96"/>
      <c r="J86" s="96"/>
      <c r="K86" s="96"/>
      <c r="L86" s="96"/>
      <c r="M86" s="17"/>
      <c r="N86" s="17"/>
      <c r="O86" s="17"/>
      <c r="P86" s="17"/>
      <c r="Q86" s="17"/>
      <c r="R86" s="17"/>
      <c r="S86" s="17"/>
      <c r="T86" s="17"/>
    </row>
    <row r="87" spans="1:20" s="14" customFormat="1" ht="30" customHeight="1">
      <c r="A87" s="98" t="s">
        <v>159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</row>
    <row r="88" spans="1:20" s="18" customFormat="1" ht="39.950000000000003" customHeight="1">
      <c r="A88" s="15" t="s">
        <v>33</v>
      </c>
      <c r="B88" s="15"/>
      <c r="C88" s="95" t="s">
        <v>160</v>
      </c>
      <c r="D88" s="95"/>
      <c r="E88" s="95"/>
      <c r="F88" s="95"/>
      <c r="G88" s="95"/>
      <c r="H88" s="95"/>
      <c r="I88" s="95"/>
      <c r="J88" s="95"/>
      <c r="K88" s="95"/>
      <c r="L88" s="95"/>
    </row>
    <row r="89" spans="1:20" s="18" customFormat="1" ht="39.950000000000003" customHeight="1">
      <c r="A89" s="95" t="s">
        <v>34</v>
      </c>
      <c r="B89" s="95"/>
      <c r="C89" s="112" t="s">
        <v>161</v>
      </c>
      <c r="D89" s="95"/>
      <c r="E89" s="95"/>
      <c r="F89" s="95"/>
      <c r="G89" s="95"/>
      <c r="H89" s="95"/>
      <c r="I89" s="95"/>
      <c r="J89" s="95"/>
      <c r="K89" s="95"/>
      <c r="L89" s="95"/>
    </row>
    <row r="90" spans="1:20" s="18" customFormat="1" ht="39.950000000000003" customHeight="1">
      <c r="A90" s="15" t="s">
        <v>35</v>
      </c>
      <c r="B90" s="15"/>
      <c r="C90" s="97" t="s">
        <v>162</v>
      </c>
      <c r="D90" s="97"/>
      <c r="E90" s="97"/>
      <c r="F90" s="97"/>
      <c r="G90" s="97"/>
      <c r="H90" s="97"/>
      <c r="I90" s="97"/>
      <c r="J90" s="97"/>
      <c r="K90" s="97"/>
      <c r="L90" s="97"/>
    </row>
    <row r="91" spans="1:20" s="18" customFormat="1" ht="30" customHeight="1">
      <c r="A91" s="98" t="s">
        <v>163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</row>
    <row r="92" spans="1:20" s="18" customFormat="1" ht="39.950000000000003" customHeight="1">
      <c r="A92" s="15" t="s">
        <v>33</v>
      </c>
      <c r="B92" s="15"/>
      <c r="C92" s="95" t="s">
        <v>164</v>
      </c>
      <c r="D92" s="95"/>
      <c r="E92" s="95"/>
      <c r="F92" s="95"/>
      <c r="G92" s="95"/>
      <c r="H92" s="95"/>
      <c r="I92" s="95"/>
      <c r="J92" s="95"/>
      <c r="K92" s="95"/>
      <c r="L92" s="95"/>
    </row>
    <row r="93" spans="1:20" s="18" customFormat="1" ht="39.950000000000003" customHeight="1">
      <c r="A93" s="95" t="s">
        <v>34</v>
      </c>
      <c r="B93" s="95"/>
      <c r="C93" s="97" t="s">
        <v>165</v>
      </c>
      <c r="D93" s="97"/>
      <c r="E93" s="97"/>
      <c r="F93" s="97"/>
      <c r="G93" s="97"/>
      <c r="H93" s="97"/>
      <c r="I93" s="97"/>
      <c r="J93" s="97"/>
      <c r="K93" s="97"/>
      <c r="L93" s="97"/>
    </row>
    <row r="94" spans="1:20" s="18" customFormat="1" ht="39.950000000000003" customHeight="1">
      <c r="A94" s="15" t="s">
        <v>35</v>
      </c>
      <c r="B94" s="15"/>
      <c r="C94" s="96" t="s">
        <v>130</v>
      </c>
      <c r="D94" s="96"/>
      <c r="E94" s="96"/>
      <c r="F94" s="96"/>
      <c r="G94" s="96"/>
      <c r="H94" s="96"/>
      <c r="I94" s="96"/>
      <c r="J94" s="96"/>
      <c r="K94" s="96"/>
      <c r="L94" s="96"/>
    </row>
    <row r="95" spans="1:20" s="18" customFormat="1" ht="30" customHeight="1">
      <c r="A95" s="98" t="s">
        <v>166</v>
      </c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</row>
    <row r="96" spans="1:20" s="18" customFormat="1" ht="39.950000000000003" customHeight="1">
      <c r="A96" s="15" t="s">
        <v>33</v>
      </c>
      <c r="B96" s="15"/>
      <c r="C96" s="95" t="s">
        <v>167</v>
      </c>
      <c r="D96" s="95"/>
      <c r="E96" s="95"/>
      <c r="F96" s="95"/>
      <c r="G96" s="95"/>
      <c r="H96" s="95"/>
      <c r="I96" s="95"/>
      <c r="J96" s="95"/>
      <c r="K96" s="95"/>
      <c r="L96" s="95"/>
    </row>
    <row r="97" spans="1:12" s="18" customFormat="1" ht="39.950000000000003" customHeight="1">
      <c r="A97" s="95" t="s">
        <v>34</v>
      </c>
      <c r="B97" s="95"/>
      <c r="C97" s="97" t="s">
        <v>168</v>
      </c>
      <c r="D97" s="97"/>
      <c r="E97" s="97"/>
      <c r="F97" s="97"/>
      <c r="G97" s="97"/>
      <c r="H97" s="97"/>
      <c r="I97" s="97"/>
      <c r="J97" s="97"/>
      <c r="K97" s="97"/>
      <c r="L97" s="97"/>
    </row>
    <row r="98" spans="1:12" s="18" customFormat="1" ht="39.950000000000003" customHeight="1">
      <c r="A98" s="15" t="s">
        <v>35</v>
      </c>
      <c r="B98" s="15"/>
      <c r="C98" s="96" t="s">
        <v>169</v>
      </c>
      <c r="D98" s="96"/>
      <c r="E98" s="96"/>
      <c r="F98" s="96"/>
      <c r="G98" s="96"/>
      <c r="H98" s="96"/>
      <c r="I98" s="96"/>
      <c r="J98" s="96"/>
      <c r="K98" s="96"/>
      <c r="L98" s="96"/>
    </row>
    <row r="99" spans="1:12" ht="21.75" customHeight="1">
      <c r="A99" s="3"/>
    </row>
    <row r="100" spans="1:12" ht="21.75" customHeight="1">
      <c r="A100" s="3"/>
    </row>
  </sheetData>
  <mergeCells count="67">
    <mergeCell ref="C78:L78"/>
    <mergeCell ref="C80:L80"/>
    <mergeCell ref="A79:L79"/>
    <mergeCell ref="C81:L81"/>
    <mergeCell ref="C98:L98"/>
    <mergeCell ref="C97:L97"/>
    <mergeCell ref="C82:L82"/>
    <mergeCell ref="C84:L84"/>
    <mergeCell ref="C85:L85"/>
    <mergeCell ref="C86:L86"/>
    <mergeCell ref="C88:L88"/>
    <mergeCell ref="A83:L83"/>
    <mergeCell ref="A81:B81"/>
    <mergeCell ref="A97:B97"/>
    <mergeCell ref="A85:B85"/>
    <mergeCell ref="A87:L87"/>
    <mergeCell ref="B58:L58"/>
    <mergeCell ref="C64:L64"/>
    <mergeCell ref="C65:L65"/>
    <mergeCell ref="C66:L66"/>
    <mergeCell ref="C68:L68"/>
    <mergeCell ref="B60:L60"/>
    <mergeCell ref="C61:L61"/>
    <mergeCell ref="C62:L62"/>
    <mergeCell ref="A59:L59"/>
    <mergeCell ref="A61:B61"/>
    <mergeCell ref="A63:L63"/>
    <mergeCell ref="A65:B65"/>
    <mergeCell ref="A67:L67"/>
    <mergeCell ref="A91:L91"/>
    <mergeCell ref="A93:B93"/>
    <mergeCell ref="A95:L95"/>
    <mergeCell ref="C89:L89"/>
    <mergeCell ref="C90:L90"/>
    <mergeCell ref="C92:L92"/>
    <mergeCell ref="C96:L96"/>
    <mergeCell ref="C93:L93"/>
    <mergeCell ref="C94:L94"/>
    <mergeCell ref="A69:B69"/>
    <mergeCell ref="A71:L71"/>
    <mergeCell ref="A73:B73"/>
    <mergeCell ref="A75:L75"/>
    <mergeCell ref="A77:B77"/>
    <mergeCell ref="C69:L69"/>
    <mergeCell ref="C70:L70"/>
    <mergeCell ref="C73:L73"/>
    <mergeCell ref="C72:L72"/>
    <mergeCell ref="C74:L74"/>
    <mergeCell ref="C76:L76"/>
    <mergeCell ref="C77:L77"/>
    <mergeCell ref="A89:B89"/>
    <mergeCell ref="A2:K2"/>
    <mergeCell ref="A3:A4"/>
    <mergeCell ref="B3:E3"/>
    <mergeCell ref="F3:I3"/>
    <mergeCell ref="J3:K3"/>
    <mergeCell ref="A57:B57"/>
    <mergeCell ref="B52:L52"/>
    <mergeCell ref="A43:L47"/>
    <mergeCell ref="A50:L50"/>
    <mergeCell ref="A51:L51"/>
    <mergeCell ref="A53:B53"/>
    <mergeCell ref="A55:L55"/>
    <mergeCell ref="C53:L53"/>
    <mergeCell ref="B56:L56"/>
    <mergeCell ref="C57:L57"/>
    <mergeCell ref="C54:L5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060F-CB76-4B4F-A8B2-74088842CC12}">
  <dimension ref="A1:S99"/>
  <sheetViews>
    <sheetView tabSelected="1" view="pageBreakPreview" topLeftCell="G1" zoomScale="80" zoomScaleNormal="70" zoomScaleSheetLayoutView="80" workbookViewId="0">
      <selection activeCell="N11" sqref="N11"/>
    </sheetView>
  </sheetViews>
  <sheetFormatPr defaultRowHeight="21.75" customHeight="1"/>
  <cols>
    <col min="1" max="1" width="11" style="47" customWidth="1"/>
    <col min="2" max="2" width="11.42578125" style="46" customWidth="1"/>
    <col min="3" max="5" width="12.5703125" style="46" customWidth="1"/>
    <col min="6" max="6" width="10.85546875" style="46" customWidth="1"/>
    <col min="7" max="9" width="12.5703125" style="46" customWidth="1"/>
    <col min="10" max="10" width="13" style="46" customWidth="1"/>
    <col min="11" max="11" width="15.85546875" style="46" customWidth="1"/>
    <col min="12" max="12" width="9.140625" style="46"/>
    <col min="13" max="13" width="19.5703125" style="46" bestFit="1" customWidth="1"/>
    <col min="14" max="15" width="14.5703125" style="46" customWidth="1"/>
    <col min="16" max="16" width="11.140625" style="46" customWidth="1"/>
    <col min="17" max="255" width="9.140625" style="46"/>
    <col min="256" max="256" width="11" style="46" customWidth="1"/>
    <col min="257" max="257" width="11.42578125" style="46" customWidth="1"/>
    <col min="258" max="260" width="12.5703125" style="46" customWidth="1"/>
    <col min="261" max="261" width="10.85546875" style="46" customWidth="1"/>
    <col min="262" max="264" width="12.5703125" style="46" customWidth="1"/>
    <col min="265" max="265" width="13" style="46" customWidth="1"/>
    <col min="266" max="266" width="15.85546875" style="46" customWidth="1"/>
    <col min="267" max="511" width="9.140625" style="46"/>
    <col min="512" max="512" width="11" style="46" customWidth="1"/>
    <col min="513" max="513" width="11.42578125" style="46" customWidth="1"/>
    <col min="514" max="516" width="12.5703125" style="46" customWidth="1"/>
    <col min="517" max="517" width="10.85546875" style="46" customWidth="1"/>
    <col min="518" max="520" width="12.5703125" style="46" customWidth="1"/>
    <col min="521" max="521" width="13" style="46" customWidth="1"/>
    <col min="522" max="522" width="15.85546875" style="46" customWidth="1"/>
    <col min="523" max="767" width="9.140625" style="46"/>
    <col min="768" max="768" width="11" style="46" customWidth="1"/>
    <col min="769" max="769" width="11.42578125" style="46" customWidth="1"/>
    <col min="770" max="772" width="12.5703125" style="46" customWidth="1"/>
    <col min="773" max="773" width="10.85546875" style="46" customWidth="1"/>
    <col min="774" max="776" width="12.5703125" style="46" customWidth="1"/>
    <col min="777" max="777" width="13" style="46" customWidth="1"/>
    <col min="778" max="778" width="15.85546875" style="46" customWidth="1"/>
    <col min="779" max="1023" width="9.140625" style="46"/>
    <col min="1024" max="1024" width="11" style="46" customWidth="1"/>
    <col min="1025" max="1025" width="11.42578125" style="46" customWidth="1"/>
    <col min="1026" max="1028" width="12.5703125" style="46" customWidth="1"/>
    <col min="1029" max="1029" width="10.85546875" style="46" customWidth="1"/>
    <col min="1030" max="1032" width="12.5703125" style="46" customWidth="1"/>
    <col min="1033" max="1033" width="13" style="46" customWidth="1"/>
    <col min="1034" max="1034" width="15.85546875" style="46" customWidth="1"/>
    <col min="1035" max="1279" width="9.140625" style="46"/>
    <col min="1280" max="1280" width="11" style="46" customWidth="1"/>
    <col min="1281" max="1281" width="11.42578125" style="46" customWidth="1"/>
    <col min="1282" max="1284" width="12.5703125" style="46" customWidth="1"/>
    <col min="1285" max="1285" width="10.85546875" style="46" customWidth="1"/>
    <col min="1286" max="1288" width="12.5703125" style="46" customWidth="1"/>
    <col min="1289" max="1289" width="13" style="46" customWidth="1"/>
    <col min="1290" max="1290" width="15.85546875" style="46" customWidth="1"/>
    <col min="1291" max="1535" width="9.140625" style="46"/>
    <col min="1536" max="1536" width="11" style="46" customWidth="1"/>
    <col min="1537" max="1537" width="11.42578125" style="46" customWidth="1"/>
    <col min="1538" max="1540" width="12.5703125" style="46" customWidth="1"/>
    <col min="1541" max="1541" width="10.85546875" style="46" customWidth="1"/>
    <col min="1542" max="1544" width="12.5703125" style="46" customWidth="1"/>
    <col min="1545" max="1545" width="13" style="46" customWidth="1"/>
    <col min="1546" max="1546" width="15.85546875" style="46" customWidth="1"/>
    <col min="1547" max="1791" width="9.140625" style="46"/>
    <col min="1792" max="1792" width="11" style="46" customWidth="1"/>
    <col min="1793" max="1793" width="11.42578125" style="46" customWidth="1"/>
    <col min="1794" max="1796" width="12.5703125" style="46" customWidth="1"/>
    <col min="1797" max="1797" width="10.85546875" style="46" customWidth="1"/>
    <col min="1798" max="1800" width="12.5703125" style="46" customWidth="1"/>
    <col min="1801" max="1801" width="13" style="46" customWidth="1"/>
    <col min="1802" max="1802" width="15.85546875" style="46" customWidth="1"/>
    <col min="1803" max="2047" width="9.140625" style="46"/>
    <col min="2048" max="2048" width="11" style="46" customWidth="1"/>
    <col min="2049" max="2049" width="11.42578125" style="46" customWidth="1"/>
    <col min="2050" max="2052" width="12.5703125" style="46" customWidth="1"/>
    <col min="2053" max="2053" width="10.85546875" style="46" customWidth="1"/>
    <col min="2054" max="2056" width="12.5703125" style="46" customWidth="1"/>
    <col min="2057" max="2057" width="13" style="46" customWidth="1"/>
    <col min="2058" max="2058" width="15.85546875" style="46" customWidth="1"/>
    <col min="2059" max="2303" width="9.140625" style="46"/>
    <col min="2304" max="2304" width="11" style="46" customWidth="1"/>
    <col min="2305" max="2305" width="11.42578125" style="46" customWidth="1"/>
    <col min="2306" max="2308" width="12.5703125" style="46" customWidth="1"/>
    <col min="2309" max="2309" width="10.85546875" style="46" customWidth="1"/>
    <col min="2310" max="2312" width="12.5703125" style="46" customWidth="1"/>
    <col min="2313" max="2313" width="13" style="46" customWidth="1"/>
    <col min="2314" max="2314" width="15.85546875" style="46" customWidth="1"/>
    <col min="2315" max="2559" width="9.140625" style="46"/>
    <col min="2560" max="2560" width="11" style="46" customWidth="1"/>
    <col min="2561" max="2561" width="11.42578125" style="46" customWidth="1"/>
    <col min="2562" max="2564" width="12.5703125" style="46" customWidth="1"/>
    <col min="2565" max="2565" width="10.85546875" style="46" customWidth="1"/>
    <col min="2566" max="2568" width="12.5703125" style="46" customWidth="1"/>
    <col min="2569" max="2569" width="13" style="46" customWidth="1"/>
    <col min="2570" max="2570" width="15.85546875" style="46" customWidth="1"/>
    <col min="2571" max="2815" width="9.140625" style="46"/>
    <col min="2816" max="2816" width="11" style="46" customWidth="1"/>
    <col min="2817" max="2817" width="11.42578125" style="46" customWidth="1"/>
    <col min="2818" max="2820" width="12.5703125" style="46" customWidth="1"/>
    <col min="2821" max="2821" width="10.85546875" style="46" customWidth="1"/>
    <col min="2822" max="2824" width="12.5703125" style="46" customWidth="1"/>
    <col min="2825" max="2825" width="13" style="46" customWidth="1"/>
    <col min="2826" max="2826" width="15.85546875" style="46" customWidth="1"/>
    <col min="2827" max="3071" width="9.140625" style="46"/>
    <col min="3072" max="3072" width="11" style="46" customWidth="1"/>
    <col min="3073" max="3073" width="11.42578125" style="46" customWidth="1"/>
    <col min="3074" max="3076" width="12.5703125" style="46" customWidth="1"/>
    <col min="3077" max="3077" width="10.85546875" style="46" customWidth="1"/>
    <col min="3078" max="3080" width="12.5703125" style="46" customWidth="1"/>
    <col min="3081" max="3081" width="13" style="46" customWidth="1"/>
    <col min="3082" max="3082" width="15.85546875" style="46" customWidth="1"/>
    <col min="3083" max="3327" width="9.140625" style="46"/>
    <col min="3328" max="3328" width="11" style="46" customWidth="1"/>
    <col min="3329" max="3329" width="11.42578125" style="46" customWidth="1"/>
    <col min="3330" max="3332" width="12.5703125" style="46" customWidth="1"/>
    <col min="3333" max="3333" width="10.85546875" style="46" customWidth="1"/>
    <col min="3334" max="3336" width="12.5703125" style="46" customWidth="1"/>
    <col min="3337" max="3337" width="13" style="46" customWidth="1"/>
    <col min="3338" max="3338" width="15.85546875" style="46" customWidth="1"/>
    <col min="3339" max="3583" width="9.140625" style="46"/>
    <col min="3584" max="3584" width="11" style="46" customWidth="1"/>
    <col min="3585" max="3585" width="11.42578125" style="46" customWidth="1"/>
    <col min="3586" max="3588" width="12.5703125" style="46" customWidth="1"/>
    <col min="3589" max="3589" width="10.85546875" style="46" customWidth="1"/>
    <col min="3590" max="3592" width="12.5703125" style="46" customWidth="1"/>
    <col min="3593" max="3593" width="13" style="46" customWidth="1"/>
    <col min="3594" max="3594" width="15.85546875" style="46" customWidth="1"/>
    <col min="3595" max="3839" width="9.140625" style="46"/>
    <col min="3840" max="3840" width="11" style="46" customWidth="1"/>
    <col min="3841" max="3841" width="11.42578125" style="46" customWidth="1"/>
    <col min="3842" max="3844" width="12.5703125" style="46" customWidth="1"/>
    <col min="3845" max="3845" width="10.85546875" style="46" customWidth="1"/>
    <col min="3846" max="3848" width="12.5703125" style="46" customWidth="1"/>
    <col min="3849" max="3849" width="13" style="46" customWidth="1"/>
    <col min="3850" max="3850" width="15.85546875" style="46" customWidth="1"/>
    <col min="3851" max="4095" width="9.140625" style="46"/>
    <col min="4096" max="4096" width="11" style="46" customWidth="1"/>
    <col min="4097" max="4097" width="11.42578125" style="46" customWidth="1"/>
    <col min="4098" max="4100" width="12.5703125" style="46" customWidth="1"/>
    <col min="4101" max="4101" width="10.85546875" style="46" customWidth="1"/>
    <col min="4102" max="4104" width="12.5703125" style="46" customWidth="1"/>
    <col min="4105" max="4105" width="13" style="46" customWidth="1"/>
    <col min="4106" max="4106" width="15.85546875" style="46" customWidth="1"/>
    <col min="4107" max="4351" width="9.140625" style="46"/>
    <col min="4352" max="4352" width="11" style="46" customWidth="1"/>
    <col min="4353" max="4353" width="11.42578125" style="46" customWidth="1"/>
    <col min="4354" max="4356" width="12.5703125" style="46" customWidth="1"/>
    <col min="4357" max="4357" width="10.85546875" style="46" customWidth="1"/>
    <col min="4358" max="4360" width="12.5703125" style="46" customWidth="1"/>
    <col min="4361" max="4361" width="13" style="46" customWidth="1"/>
    <col min="4362" max="4362" width="15.85546875" style="46" customWidth="1"/>
    <col min="4363" max="4607" width="9.140625" style="46"/>
    <col min="4608" max="4608" width="11" style="46" customWidth="1"/>
    <col min="4609" max="4609" width="11.42578125" style="46" customWidth="1"/>
    <col min="4610" max="4612" width="12.5703125" style="46" customWidth="1"/>
    <col min="4613" max="4613" width="10.85546875" style="46" customWidth="1"/>
    <col min="4614" max="4616" width="12.5703125" style="46" customWidth="1"/>
    <col min="4617" max="4617" width="13" style="46" customWidth="1"/>
    <col min="4618" max="4618" width="15.85546875" style="46" customWidth="1"/>
    <col min="4619" max="4863" width="9.140625" style="46"/>
    <col min="4864" max="4864" width="11" style="46" customWidth="1"/>
    <col min="4865" max="4865" width="11.42578125" style="46" customWidth="1"/>
    <col min="4866" max="4868" width="12.5703125" style="46" customWidth="1"/>
    <col min="4869" max="4869" width="10.85546875" style="46" customWidth="1"/>
    <col min="4870" max="4872" width="12.5703125" style="46" customWidth="1"/>
    <col min="4873" max="4873" width="13" style="46" customWidth="1"/>
    <col min="4874" max="4874" width="15.85546875" style="46" customWidth="1"/>
    <col min="4875" max="5119" width="9.140625" style="46"/>
    <col min="5120" max="5120" width="11" style="46" customWidth="1"/>
    <col min="5121" max="5121" width="11.42578125" style="46" customWidth="1"/>
    <col min="5122" max="5124" width="12.5703125" style="46" customWidth="1"/>
    <col min="5125" max="5125" width="10.85546875" style="46" customWidth="1"/>
    <col min="5126" max="5128" width="12.5703125" style="46" customWidth="1"/>
    <col min="5129" max="5129" width="13" style="46" customWidth="1"/>
    <col min="5130" max="5130" width="15.85546875" style="46" customWidth="1"/>
    <col min="5131" max="5375" width="9.140625" style="46"/>
    <col min="5376" max="5376" width="11" style="46" customWidth="1"/>
    <col min="5377" max="5377" width="11.42578125" style="46" customWidth="1"/>
    <col min="5378" max="5380" width="12.5703125" style="46" customWidth="1"/>
    <col min="5381" max="5381" width="10.85546875" style="46" customWidth="1"/>
    <col min="5382" max="5384" width="12.5703125" style="46" customWidth="1"/>
    <col min="5385" max="5385" width="13" style="46" customWidth="1"/>
    <col min="5386" max="5386" width="15.85546875" style="46" customWidth="1"/>
    <col min="5387" max="5631" width="9.140625" style="46"/>
    <col min="5632" max="5632" width="11" style="46" customWidth="1"/>
    <col min="5633" max="5633" width="11.42578125" style="46" customWidth="1"/>
    <col min="5634" max="5636" width="12.5703125" style="46" customWidth="1"/>
    <col min="5637" max="5637" width="10.85546875" style="46" customWidth="1"/>
    <col min="5638" max="5640" width="12.5703125" style="46" customWidth="1"/>
    <col min="5641" max="5641" width="13" style="46" customWidth="1"/>
    <col min="5642" max="5642" width="15.85546875" style="46" customWidth="1"/>
    <col min="5643" max="5887" width="9.140625" style="46"/>
    <col min="5888" max="5888" width="11" style="46" customWidth="1"/>
    <col min="5889" max="5889" width="11.42578125" style="46" customWidth="1"/>
    <col min="5890" max="5892" width="12.5703125" style="46" customWidth="1"/>
    <col min="5893" max="5893" width="10.85546875" style="46" customWidth="1"/>
    <col min="5894" max="5896" width="12.5703125" style="46" customWidth="1"/>
    <col min="5897" max="5897" width="13" style="46" customWidth="1"/>
    <col min="5898" max="5898" width="15.85546875" style="46" customWidth="1"/>
    <col min="5899" max="6143" width="9.140625" style="46"/>
    <col min="6144" max="6144" width="11" style="46" customWidth="1"/>
    <col min="6145" max="6145" width="11.42578125" style="46" customWidth="1"/>
    <col min="6146" max="6148" width="12.5703125" style="46" customWidth="1"/>
    <col min="6149" max="6149" width="10.85546875" style="46" customWidth="1"/>
    <col min="6150" max="6152" width="12.5703125" style="46" customWidth="1"/>
    <col min="6153" max="6153" width="13" style="46" customWidth="1"/>
    <col min="6154" max="6154" width="15.85546875" style="46" customWidth="1"/>
    <col min="6155" max="6399" width="9.140625" style="46"/>
    <col min="6400" max="6400" width="11" style="46" customWidth="1"/>
    <col min="6401" max="6401" width="11.42578125" style="46" customWidth="1"/>
    <col min="6402" max="6404" width="12.5703125" style="46" customWidth="1"/>
    <col min="6405" max="6405" width="10.85546875" style="46" customWidth="1"/>
    <col min="6406" max="6408" width="12.5703125" style="46" customWidth="1"/>
    <col min="6409" max="6409" width="13" style="46" customWidth="1"/>
    <col min="6410" max="6410" width="15.85546875" style="46" customWidth="1"/>
    <col min="6411" max="6655" width="9.140625" style="46"/>
    <col min="6656" max="6656" width="11" style="46" customWidth="1"/>
    <col min="6657" max="6657" width="11.42578125" style="46" customWidth="1"/>
    <col min="6658" max="6660" width="12.5703125" style="46" customWidth="1"/>
    <col min="6661" max="6661" width="10.85546875" style="46" customWidth="1"/>
    <col min="6662" max="6664" width="12.5703125" style="46" customWidth="1"/>
    <col min="6665" max="6665" width="13" style="46" customWidth="1"/>
    <col min="6666" max="6666" width="15.85546875" style="46" customWidth="1"/>
    <col min="6667" max="6911" width="9.140625" style="46"/>
    <col min="6912" max="6912" width="11" style="46" customWidth="1"/>
    <col min="6913" max="6913" width="11.42578125" style="46" customWidth="1"/>
    <col min="6914" max="6916" width="12.5703125" style="46" customWidth="1"/>
    <col min="6917" max="6917" width="10.85546875" style="46" customWidth="1"/>
    <col min="6918" max="6920" width="12.5703125" style="46" customWidth="1"/>
    <col min="6921" max="6921" width="13" style="46" customWidth="1"/>
    <col min="6922" max="6922" width="15.85546875" style="46" customWidth="1"/>
    <col min="6923" max="7167" width="9.140625" style="46"/>
    <col min="7168" max="7168" width="11" style="46" customWidth="1"/>
    <col min="7169" max="7169" width="11.42578125" style="46" customWidth="1"/>
    <col min="7170" max="7172" width="12.5703125" style="46" customWidth="1"/>
    <col min="7173" max="7173" width="10.85546875" style="46" customWidth="1"/>
    <col min="7174" max="7176" width="12.5703125" style="46" customWidth="1"/>
    <col min="7177" max="7177" width="13" style="46" customWidth="1"/>
    <col min="7178" max="7178" width="15.85546875" style="46" customWidth="1"/>
    <col min="7179" max="7423" width="9.140625" style="46"/>
    <col min="7424" max="7424" width="11" style="46" customWidth="1"/>
    <col min="7425" max="7425" width="11.42578125" style="46" customWidth="1"/>
    <col min="7426" max="7428" width="12.5703125" style="46" customWidth="1"/>
    <col min="7429" max="7429" width="10.85546875" style="46" customWidth="1"/>
    <col min="7430" max="7432" width="12.5703125" style="46" customWidth="1"/>
    <col min="7433" max="7433" width="13" style="46" customWidth="1"/>
    <col min="7434" max="7434" width="15.85546875" style="46" customWidth="1"/>
    <col min="7435" max="7679" width="9.140625" style="46"/>
    <col min="7680" max="7680" width="11" style="46" customWidth="1"/>
    <col min="7681" max="7681" width="11.42578125" style="46" customWidth="1"/>
    <col min="7682" max="7684" width="12.5703125" style="46" customWidth="1"/>
    <col min="7685" max="7685" width="10.85546875" style="46" customWidth="1"/>
    <col min="7686" max="7688" width="12.5703125" style="46" customWidth="1"/>
    <col min="7689" max="7689" width="13" style="46" customWidth="1"/>
    <col min="7690" max="7690" width="15.85546875" style="46" customWidth="1"/>
    <col min="7691" max="7935" width="9.140625" style="46"/>
    <col min="7936" max="7936" width="11" style="46" customWidth="1"/>
    <col min="7937" max="7937" width="11.42578125" style="46" customWidth="1"/>
    <col min="7938" max="7940" width="12.5703125" style="46" customWidth="1"/>
    <col min="7941" max="7941" width="10.85546875" style="46" customWidth="1"/>
    <col min="7942" max="7944" width="12.5703125" style="46" customWidth="1"/>
    <col min="7945" max="7945" width="13" style="46" customWidth="1"/>
    <col min="7946" max="7946" width="15.85546875" style="46" customWidth="1"/>
    <col min="7947" max="8191" width="9.140625" style="46"/>
    <col min="8192" max="8192" width="11" style="46" customWidth="1"/>
    <col min="8193" max="8193" width="11.42578125" style="46" customWidth="1"/>
    <col min="8194" max="8196" width="12.5703125" style="46" customWidth="1"/>
    <col min="8197" max="8197" width="10.85546875" style="46" customWidth="1"/>
    <col min="8198" max="8200" width="12.5703125" style="46" customWidth="1"/>
    <col min="8201" max="8201" width="13" style="46" customWidth="1"/>
    <col min="8202" max="8202" width="15.85546875" style="46" customWidth="1"/>
    <col min="8203" max="8447" width="9.140625" style="46"/>
    <col min="8448" max="8448" width="11" style="46" customWidth="1"/>
    <col min="8449" max="8449" width="11.42578125" style="46" customWidth="1"/>
    <col min="8450" max="8452" width="12.5703125" style="46" customWidth="1"/>
    <col min="8453" max="8453" width="10.85546875" style="46" customWidth="1"/>
    <col min="8454" max="8456" width="12.5703125" style="46" customWidth="1"/>
    <col min="8457" max="8457" width="13" style="46" customWidth="1"/>
    <col min="8458" max="8458" width="15.85546875" style="46" customWidth="1"/>
    <col min="8459" max="8703" width="9.140625" style="46"/>
    <col min="8704" max="8704" width="11" style="46" customWidth="1"/>
    <col min="8705" max="8705" width="11.42578125" style="46" customWidth="1"/>
    <col min="8706" max="8708" width="12.5703125" style="46" customWidth="1"/>
    <col min="8709" max="8709" width="10.85546875" style="46" customWidth="1"/>
    <col min="8710" max="8712" width="12.5703125" style="46" customWidth="1"/>
    <col min="8713" max="8713" width="13" style="46" customWidth="1"/>
    <col min="8714" max="8714" width="15.85546875" style="46" customWidth="1"/>
    <col min="8715" max="8959" width="9.140625" style="46"/>
    <col min="8960" max="8960" width="11" style="46" customWidth="1"/>
    <col min="8961" max="8961" width="11.42578125" style="46" customWidth="1"/>
    <col min="8962" max="8964" width="12.5703125" style="46" customWidth="1"/>
    <col min="8965" max="8965" width="10.85546875" style="46" customWidth="1"/>
    <col min="8966" max="8968" width="12.5703125" style="46" customWidth="1"/>
    <col min="8969" max="8969" width="13" style="46" customWidth="1"/>
    <col min="8970" max="8970" width="15.85546875" style="46" customWidth="1"/>
    <col min="8971" max="9215" width="9.140625" style="46"/>
    <col min="9216" max="9216" width="11" style="46" customWidth="1"/>
    <col min="9217" max="9217" width="11.42578125" style="46" customWidth="1"/>
    <col min="9218" max="9220" width="12.5703125" style="46" customWidth="1"/>
    <col min="9221" max="9221" width="10.85546875" style="46" customWidth="1"/>
    <col min="9222" max="9224" width="12.5703125" style="46" customWidth="1"/>
    <col min="9225" max="9225" width="13" style="46" customWidth="1"/>
    <col min="9226" max="9226" width="15.85546875" style="46" customWidth="1"/>
    <col min="9227" max="9471" width="9.140625" style="46"/>
    <col min="9472" max="9472" width="11" style="46" customWidth="1"/>
    <col min="9473" max="9473" width="11.42578125" style="46" customWidth="1"/>
    <col min="9474" max="9476" width="12.5703125" style="46" customWidth="1"/>
    <col min="9477" max="9477" width="10.85546875" style="46" customWidth="1"/>
    <col min="9478" max="9480" width="12.5703125" style="46" customWidth="1"/>
    <col min="9481" max="9481" width="13" style="46" customWidth="1"/>
    <col min="9482" max="9482" width="15.85546875" style="46" customWidth="1"/>
    <col min="9483" max="9727" width="9.140625" style="46"/>
    <col min="9728" max="9728" width="11" style="46" customWidth="1"/>
    <col min="9729" max="9729" width="11.42578125" style="46" customWidth="1"/>
    <col min="9730" max="9732" width="12.5703125" style="46" customWidth="1"/>
    <col min="9733" max="9733" width="10.85546875" style="46" customWidth="1"/>
    <col min="9734" max="9736" width="12.5703125" style="46" customWidth="1"/>
    <col min="9737" max="9737" width="13" style="46" customWidth="1"/>
    <col min="9738" max="9738" width="15.85546875" style="46" customWidth="1"/>
    <col min="9739" max="9983" width="9.140625" style="46"/>
    <col min="9984" max="9984" width="11" style="46" customWidth="1"/>
    <col min="9985" max="9985" width="11.42578125" style="46" customWidth="1"/>
    <col min="9986" max="9988" width="12.5703125" style="46" customWidth="1"/>
    <col min="9989" max="9989" width="10.85546875" style="46" customWidth="1"/>
    <col min="9990" max="9992" width="12.5703125" style="46" customWidth="1"/>
    <col min="9993" max="9993" width="13" style="46" customWidth="1"/>
    <col min="9994" max="9994" width="15.85546875" style="46" customWidth="1"/>
    <col min="9995" max="10239" width="9.140625" style="46"/>
    <col min="10240" max="10240" width="11" style="46" customWidth="1"/>
    <col min="10241" max="10241" width="11.42578125" style="46" customWidth="1"/>
    <col min="10242" max="10244" width="12.5703125" style="46" customWidth="1"/>
    <col min="10245" max="10245" width="10.85546875" style="46" customWidth="1"/>
    <col min="10246" max="10248" width="12.5703125" style="46" customWidth="1"/>
    <col min="10249" max="10249" width="13" style="46" customWidth="1"/>
    <col min="10250" max="10250" width="15.85546875" style="46" customWidth="1"/>
    <col min="10251" max="10495" width="9.140625" style="46"/>
    <col min="10496" max="10496" width="11" style="46" customWidth="1"/>
    <col min="10497" max="10497" width="11.42578125" style="46" customWidth="1"/>
    <col min="10498" max="10500" width="12.5703125" style="46" customWidth="1"/>
    <col min="10501" max="10501" width="10.85546875" style="46" customWidth="1"/>
    <col min="10502" max="10504" width="12.5703125" style="46" customWidth="1"/>
    <col min="10505" max="10505" width="13" style="46" customWidth="1"/>
    <col min="10506" max="10506" width="15.85546875" style="46" customWidth="1"/>
    <col min="10507" max="10751" width="9.140625" style="46"/>
    <col min="10752" max="10752" width="11" style="46" customWidth="1"/>
    <col min="10753" max="10753" width="11.42578125" style="46" customWidth="1"/>
    <col min="10754" max="10756" width="12.5703125" style="46" customWidth="1"/>
    <col min="10757" max="10757" width="10.85546875" style="46" customWidth="1"/>
    <col min="10758" max="10760" width="12.5703125" style="46" customWidth="1"/>
    <col min="10761" max="10761" width="13" style="46" customWidth="1"/>
    <col min="10762" max="10762" width="15.85546875" style="46" customWidth="1"/>
    <col min="10763" max="11007" width="9.140625" style="46"/>
    <col min="11008" max="11008" width="11" style="46" customWidth="1"/>
    <col min="11009" max="11009" width="11.42578125" style="46" customWidth="1"/>
    <col min="11010" max="11012" width="12.5703125" style="46" customWidth="1"/>
    <col min="11013" max="11013" width="10.85546875" style="46" customWidth="1"/>
    <col min="11014" max="11016" width="12.5703125" style="46" customWidth="1"/>
    <col min="11017" max="11017" width="13" style="46" customWidth="1"/>
    <col min="11018" max="11018" width="15.85546875" style="46" customWidth="1"/>
    <col min="11019" max="11263" width="9.140625" style="46"/>
    <col min="11264" max="11264" width="11" style="46" customWidth="1"/>
    <col min="11265" max="11265" width="11.42578125" style="46" customWidth="1"/>
    <col min="11266" max="11268" width="12.5703125" style="46" customWidth="1"/>
    <col min="11269" max="11269" width="10.85546875" style="46" customWidth="1"/>
    <col min="11270" max="11272" width="12.5703125" style="46" customWidth="1"/>
    <col min="11273" max="11273" width="13" style="46" customWidth="1"/>
    <col min="11274" max="11274" width="15.85546875" style="46" customWidth="1"/>
    <col min="11275" max="11519" width="9.140625" style="46"/>
    <col min="11520" max="11520" width="11" style="46" customWidth="1"/>
    <col min="11521" max="11521" width="11.42578125" style="46" customWidth="1"/>
    <col min="11522" max="11524" width="12.5703125" style="46" customWidth="1"/>
    <col min="11525" max="11525" width="10.85546875" style="46" customWidth="1"/>
    <col min="11526" max="11528" width="12.5703125" style="46" customWidth="1"/>
    <col min="11529" max="11529" width="13" style="46" customWidth="1"/>
    <col min="11530" max="11530" width="15.85546875" style="46" customWidth="1"/>
    <col min="11531" max="11775" width="9.140625" style="46"/>
    <col min="11776" max="11776" width="11" style="46" customWidth="1"/>
    <col min="11777" max="11777" width="11.42578125" style="46" customWidth="1"/>
    <col min="11778" max="11780" width="12.5703125" style="46" customWidth="1"/>
    <col min="11781" max="11781" width="10.85546875" style="46" customWidth="1"/>
    <col min="11782" max="11784" width="12.5703125" style="46" customWidth="1"/>
    <col min="11785" max="11785" width="13" style="46" customWidth="1"/>
    <col min="11786" max="11786" width="15.85546875" style="46" customWidth="1"/>
    <col min="11787" max="12031" width="9.140625" style="46"/>
    <col min="12032" max="12032" width="11" style="46" customWidth="1"/>
    <col min="12033" max="12033" width="11.42578125" style="46" customWidth="1"/>
    <col min="12034" max="12036" width="12.5703125" style="46" customWidth="1"/>
    <col min="12037" max="12037" width="10.85546875" style="46" customWidth="1"/>
    <col min="12038" max="12040" width="12.5703125" style="46" customWidth="1"/>
    <col min="12041" max="12041" width="13" style="46" customWidth="1"/>
    <col min="12042" max="12042" width="15.85546875" style="46" customWidth="1"/>
    <col min="12043" max="12287" width="9.140625" style="46"/>
    <col min="12288" max="12288" width="11" style="46" customWidth="1"/>
    <col min="12289" max="12289" width="11.42578125" style="46" customWidth="1"/>
    <col min="12290" max="12292" width="12.5703125" style="46" customWidth="1"/>
    <col min="12293" max="12293" width="10.85546875" style="46" customWidth="1"/>
    <col min="12294" max="12296" width="12.5703125" style="46" customWidth="1"/>
    <col min="12297" max="12297" width="13" style="46" customWidth="1"/>
    <col min="12298" max="12298" width="15.85546875" style="46" customWidth="1"/>
    <col min="12299" max="12543" width="9.140625" style="46"/>
    <col min="12544" max="12544" width="11" style="46" customWidth="1"/>
    <col min="12545" max="12545" width="11.42578125" style="46" customWidth="1"/>
    <col min="12546" max="12548" width="12.5703125" style="46" customWidth="1"/>
    <col min="12549" max="12549" width="10.85546875" style="46" customWidth="1"/>
    <col min="12550" max="12552" width="12.5703125" style="46" customWidth="1"/>
    <col min="12553" max="12553" width="13" style="46" customWidth="1"/>
    <col min="12554" max="12554" width="15.85546875" style="46" customWidth="1"/>
    <col min="12555" max="12799" width="9.140625" style="46"/>
    <col min="12800" max="12800" width="11" style="46" customWidth="1"/>
    <col min="12801" max="12801" width="11.42578125" style="46" customWidth="1"/>
    <col min="12802" max="12804" width="12.5703125" style="46" customWidth="1"/>
    <col min="12805" max="12805" width="10.85546875" style="46" customWidth="1"/>
    <col min="12806" max="12808" width="12.5703125" style="46" customWidth="1"/>
    <col min="12809" max="12809" width="13" style="46" customWidth="1"/>
    <col min="12810" max="12810" width="15.85546875" style="46" customWidth="1"/>
    <col min="12811" max="13055" width="9.140625" style="46"/>
    <col min="13056" max="13056" width="11" style="46" customWidth="1"/>
    <col min="13057" max="13057" width="11.42578125" style="46" customWidth="1"/>
    <col min="13058" max="13060" width="12.5703125" style="46" customWidth="1"/>
    <col min="13061" max="13061" width="10.85546875" style="46" customWidth="1"/>
    <col min="13062" max="13064" width="12.5703125" style="46" customWidth="1"/>
    <col min="13065" max="13065" width="13" style="46" customWidth="1"/>
    <col min="13066" max="13066" width="15.85546875" style="46" customWidth="1"/>
    <col min="13067" max="13311" width="9.140625" style="46"/>
    <col min="13312" max="13312" width="11" style="46" customWidth="1"/>
    <col min="13313" max="13313" width="11.42578125" style="46" customWidth="1"/>
    <col min="13314" max="13316" width="12.5703125" style="46" customWidth="1"/>
    <col min="13317" max="13317" width="10.85546875" style="46" customWidth="1"/>
    <col min="13318" max="13320" width="12.5703125" style="46" customWidth="1"/>
    <col min="13321" max="13321" width="13" style="46" customWidth="1"/>
    <col min="13322" max="13322" width="15.85546875" style="46" customWidth="1"/>
    <col min="13323" max="13567" width="9.140625" style="46"/>
    <col min="13568" max="13568" width="11" style="46" customWidth="1"/>
    <col min="13569" max="13569" width="11.42578125" style="46" customWidth="1"/>
    <col min="13570" max="13572" width="12.5703125" style="46" customWidth="1"/>
    <col min="13573" max="13573" width="10.85546875" style="46" customWidth="1"/>
    <col min="13574" max="13576" width="12.5703125" style="46" customWidth="1"/>
    <col min="13577" max="13577" width="13" style="46" customWidth="1"/>
    <col min="13578" max="13578" width="15.85546875" style="46" customWidth="1"/>
    <col min="13579" max="13823" width="9.140625" style="46"/>
    <col min="13824" max="13824" width="11" style="46" customWidth="1"/>
    <col min="13825" max="13825" width="11.42578125" style="46" customWidth="1"/>
    <col min="13826" max="13828" width="12.5703125" style="46" customWidth="1"/>
    <col min="13829" max="13829" width="10.85546875" style="46" customWidth="1"/>
    <col min="13830" max="13832" width="12.5703125" style="46" customWidth="1"/>
    <col min="13833" max="13833" width="13" style="46" customWidth="1"/>
    <col min="13834" max="13834" width="15.85546875" style="46" customWidth="1"/>
    <col min="13835" max="14079" width="9.140625" style="46"/>
    <col min="14080" max="14080" width="11" style="46" customWidth="1"/>
    <col min="14081" max="14081" width="11.42578125" style="46" customWidth="1"/>
    <col min="14082" max="14084" width="12.5703125" style="46" customWidth="1"/>
    <col min="14085" max="14085" width="10.85546875" style="46" customWidth="1"/>
    <col min="14086" max="14088" width="12.5703125" style="46" customWidth="1"/>
    <col min="14089" max="14089" width="13" style="46" customWidth="1"/>
    <col min="14090" max="14090" width="15.85546875" style="46" customWidth="1"/>
    <col min="14091" max="14335" width="9.140625" style="46"/>
    <col min="14336" max="14336" width="11" style="46" customWidth="1"/>
    <col min="14337" max="14337" width="11.42578125" style="46" customWidth="1"/>
    <col min="14338" max="14340" width="12.5703125" style="46" customWidth="1"/>
    <col min="14341" max="14341" width="10.85546875" style="46" customWidth="1"/>
    <col min="14342" max="14344" width="12.5703125" style="46" customWidth="1"/>
    <col min="14345" max="14345" width="13" style="46" customWidth="1"/>
    <col min="14346" max="14346" width="15.85546875" style="46" customWidth="1"/>
    <col min="14347" max="14591" width="9.140625" style="46"/>
    <col min="14592" max="14592" width="11" style="46" customWidth="1"/>
    <col min="14593" max="14593" width="11.42578125" style="46" customWidth="1"/>
    <col min="14594" max="14596" width="12.5703125" style="46" customWidth="1"/>
    <col min="14597" max="14597" width="10.85546875" style="46" customWidth="1"/>
    <col min="14598" max="14600" width="12.5703125" style="46" customWidth="1"/>
    <col min="14601" max="14601" width="13" style="46" customWidth="1"/>
    <col min="14602" max="14602" width="15.85546875" style="46" customWidth="1"/>
    <col min="14603" max="14847" width="9.140625" style="46"/>
    <col min="14848" max="14848" width="11" style="46" customWidth="1"/>
    <col min="14849" max="14849" width="11.42578125" style="46" customWidth="1"/>
    <col min="14850" max="14852" width="12.5703125" style="46" customWidth="1"/>
    <col min="14853" max="14853" width="10.85546875" style="46" customWidth="1"/>
    <col min="14854" max="14856" width="12.5703125" style="46" customWidth="1"/>
    <col min="14857" max="14857" width="13" style="46" customWidth="1"/>
    <col min="14858" max="14858" width="15.85546875" style="46" customWidth="1"/>
    <col min="14859" max="15103" width="9.140625" style="46"/>
    <col min="15104" max="15104" width="11" style="46" customWidth="1"/>
    <col min="15105" max="15105" width="11.42578125" style="46" customWidth="1"/>
    <col min="15106" max="15108" width="12.5703125" style="46" customWidth="1"/>
    <col min="15109" max="15109" width="10.85546875" style="46" customWidth="1"/>
    <col min="15110" max="15112" width="12.5703125" style="46" customWidth="1"/>
    <col min="15113" max="15113" width="13" style="46" customWidth="1"/>
    <col min="15114" max="15114" width="15.85546875" style="46" customWidth="1"/>
    <col min="15115" max="15359" width="9.140625" style="46"/>
    <col min="15360" max="15360" width="11" style="46" customWidth="1"/>
    <col min="15361" max="15361" width="11.42578125" style="46" customWidth="1"/>
    <col min="15362" max="15364" width="12.5703125" style="46" customWidth="1"/>
    <col min="15365" max="15365" width="10.85546875" style="46" customWidth="1"/>
    <col min="15366" max="15368" width="12.5703125" style="46" customWidth="1"/>
    <col min="15369" max="15369" width="13" style="46" customWidth="1"/>
    <col min="15370" max="15370" width="15.85546875" style="46" customWidth="1"/>
    <col min="15371" max="15615" width="9.140625" style="46"/>
    <col min="15616" max="15616" width="11" style="46" customWidth="1"/>
    <col min="15617" max="15617" width="11.42578125" style="46" customWidth="1"/>
    <col min="15618" max="15620" width="12.5703125" style="46" customWidth="1"/>
    <col min="15621" max="15621" width="10.85546875" style="46" customWidth="1"/>
    <col min="15622" max="15624" width="12.5703125" style="46" customWidth="1"/>
    <col min="15625" max="15625" width="13" style="46" customWidth="1"/>
    <col min="15626" max="15626" width="15.85546875" style="46" customWidth="1"/>
    <col min="15627" max="15871" width="9.140625" style="46"/>
    <col min="15872" max="15872" width="11" style="46" customWidth="1"/>
    <col min="15873" max="15873" width="11.42578125" style="46" customWidth="1"/>
    <col min="15874" max="15876" width="12.5703125" style="46" customWidth="1"/>
    <col min="15877" max="15877" width="10.85546875" style="46" customWidth="1"/>
    <col min="15878" max="15880" width="12.5703125" style="46" customWidth="1"/>
    <col min="15881" max="15881" width="13" style="46" customWidth="1"/>
    <col min="15882" max="15882" width="15.85546875" style="46" customWidth="1"/>
    <col min="15883" max="16127" width="9.140625" style="46"/>
    <col min="16128" max="16128" width="11" style="46" customWidth="1"/>
    <col min="16129" max="16129" width="11.42578125" style="46" customWidth="1"/>
    <col min="16130" max="16132" width="12.5703125" style="46" customWidth="1"/>
    <col min="16133" max="16133" width="10.85546875" style="46" customWidth="1"/>
    <col min="16134" max="16136" width="12.5703125" style="46" customWidth="1"/>
    <col min="16137" max="16137" width="13" style="46" customWidth="1"/>
    <col min="16138" max="16138" width="15.85546875" style="46" customWidth="1"/>
    <col min="16139" max="16384" width="9.140625" style="46"/>
  </cols>
  <sheetData>
    <row r="1" spans="1:19" ht="21.75" customHeight="1">
      <c r="A1" s="66"/>
      <c r="B1" s="73"/>
      <c r="C1" s="73"/>
      <c r="D1" s="73"/>
      <c r="E1" s="73"/>
      <c r="F1" s="73"/>
      <c r="G1" s="73"/>
      <c r="H1" s="73"/>
      <c r="I1" s="73"/>
      <c r="K1" s="74" t="s">
        <v>0</v>
      </c>
      <c r="L1" s="73"/>
    </row>
    <row r="2" spans="1:19" ht="23.1" customHeight="1" thickBo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73"/>
    </row>
    <row r="3" spans="1:19" s="71" customFormat="1" ht="21.6" customHeight="1">
      <c r="A3" s="90" t="s">
        <v>2</v>
      </c>
      <c r="B3" s="91" t="s">
        <v>118</v>
      </c>
      <c r="C3" s="91"/>
      <c r="D3" s="91"/>
      <c r="E3" s="91"/>
      <c r="F3" s="91" t="s">
        <v>4</v>
      </c>
      <c r="G3" s="91"/>
      <c r="H3" s="91"/>
      <c r="I3" s="91"/>
      <c r="J3" s="91" t="s">
        <v>5</v>
      </c>
      <c r="K3" s="91"/>
      <c r="M3" s="78" t="s">
        <v>51</v>
      </c>
      <c r="N3" s="79"/>
      <c r="O3" s="79"/>
      <c r="P3" s="80"/>
    </row>
    <row r="4" spans="1:19" s="71" customFormat="1" ht="45.95" customHeight="1">
      <c r="A4" s="90"/>
      <c r="B4" s="72" t="s">
        <v>6</v>
      </c>
      <c r="C4" s="72" t="s">
        <v>170</v>
      </c>
      <c r="D4" s="72" t="s">
        <v>8</v>
      </c>
      <c r="E4" s="72" t="s">
        <v>171</v>
      </c>
      <c r="F4" s="72" t="s">
        <v>6</v>
      </c>
      <c r="G4" s="72" t="s">
        <v>10</v>
      </c>
      <c r="H4" s="72" t="s">
        <v>8</v>
      </c>
      <c r="I4" s="72" t="s">
        <v>11</v>
      </c>
      <c r="J4" s="72" t="s">
        <v>172</v>
      </c>
      <c r="K4" s="72" t="s">
        <v>173</v>
      </c>
      <c r="M4" s="81"/>
      <c r="N4" s="75" t="s">
        <v>58</v>
      </c>
      <c r="O4" s="75" t="s">
        <v>59</v>
      </c>
      <c r="P4" s="82" t="s">
        <v>174</v>
      </c>
    </row>
    <row r="5" spans="1:19" ht="24.95" customHeight="1">
      <c r="A5" s="68" t="s">
        <v>14</v>
      </c>
      <c r="B5" s="7">
        <v>705</v>
      </c>
      <c r="C5" s="70">
        <f>'2568'!G5</f>
        <v>939</v>
      </c>
      <c r="D5" s="67">
        <f>C5*8</f>
        <v>7512</v>
      </c>
      <c r="E5" s="67">
        <f>C5/B5</f>
        <v>1.3319148936170213</v>
      </c>
      <c r="F5" s="69"/>
      <c r="G5" s="69">
        <f>P5</f>
        <v>1098.4000000000233</v>
      </c>
      <c r="H5" s="67"/>
      <c r="I5" s="67" t="e">
        <f>G5/F5</f>
        <v>#DIV/0!</v>
      </c>
      <c r="J5" s="19">
        <f>(G5-C5)/C5</f>
        <v>0.16975505857297474</v>
      </c>
      <c r="K5" s="20" t="e">
        <f>(I5-E5)/E5</f>
        <v>#DIV/0!</v>
      </c>
      <c r="M5" s="83" t="s">
        <v>60</v>
      </c>
      <c r="N5" s="76">
        <v>286886.2</v>
      </c>
      <c r="O5" s="77">
        <v>285787.8</v>
      </c>
      <c r="P5" s="84">
        <f>N5-O5</f>
        <v>1098.4000000000233</v>
      </c>
    </row>
    <row r="6" spans="1:19" ht="24.95" customHeight="1">
      <c r="A6" s="68" t="s">
        <v>15</v>
      </c>
      <c r="B6" s="7">
        <v>1240</v>
      </c>
      <c r="C6" s="70">
        <f>'2568'!G6</f>
        <v>447.5</v>
      </c>
      <c r="D6" s="67">
        <f t="shared" ref="D6:D16" si="0">C6*8</f>
        <v>3580</v>
      </c>
      <c r="E6" s="67">
        <f t="shared" ref="E6:E16" si="1">C6/B6</f>
        <v>0.36088709677419356</v>
      </c>
      <c r="F6" s="69"/>
      <c r="G6" s="69">
        <f t="shared" ref="G6:G16" si="2">P6</f>
        <v>944.59999999997672</v>
      </c>
      <c r="H6" s="67"/>
      <c r="I6" s="67" t="e">
        <f t="shared" ref="I6:I16" si="3">G6/F6</f>
        <v>#DIV/0!</v>
      </c>
      <c r="J6" s="19">
        <f t="shared" ref="J6:J18" si="4">(G6-C6)/C6</f>
        <v>1.1108379888267637</v>
      </c>
      <c r="K6" s="20" t="e">
        <f t="shared" ref="K6:K18" si="5">(I6-E6)/E6</f>
        <v>#DIV/0!</v>
      </c>
      <c r="M6" s="83" t="s">
        <v>61</v>
      </c>
      <c r="N6" s="76">
        <v>287830.8</v>
      </c>
      <c r="O6" s="76">
        <v>286886.2</v>
      </c>
      <c r="P6" s="84">
        <f t="shared" ref="P6:P16" si="6">N6-O6</f>
        <v>944.59999999997672</v>
      </c>
    </row>
    <row r="7" spans="1:19" ht="24.95" customHeight="1">
      <c r="A7" s="68" t="s">
        <v>16</v>
      </c>
      <c r="B7" s="7">
        <v>1420</v>
      </c>
      <c r="C7" s="70">
        <f>'2568'!G7</f>
        <v>555</v>
      </c>
      <c r="D7" s="67">
        <f t="shared" si="0"/>
        <v>4440</v>
      </c>
      <c r="E7" s="67">
        <f t="shared" si="1"/>
        <v>0.39084507042253519</v>
      </c>
      <c r="F7" s="69"/>
      <c r="G7" s="69">
        <f t="shared" si="2"/>
        <v>909.70000000001164</v>
      </c>
      <c r="H7" s="67"/>
      <c r="I7" s="67" t="e">
        <f t="shared" si="3"/>
        <v>#DIV/0!</v>
      </c>
      <c r="J7" s="19">
        <f t="shared" si="4"/>
        <v>0.6390990990991201</v>
      </c>
      <c r="K7" s="20" t="e">
        <f t="shared" si="5"/>
        <v>#DIV/0!</v>
      </c>
      <c r="M7" s="83" t="s">
        <v>62</v>
      </c>
      <c r="N7" s="76">
        <v>288740.5</v>
      </c>
      <c r="O7" s="76">
        <v>287830.8</v>
      </c>
      <c r="P7" s="84">
        <f t="shared" si="6"/>
        <v>909.70000000001164</v>
      </c>
      <c r="S7" s="46">
        <v>288740.5</v>
      </c>
    </row>
    <row r="8" spans="1:19" ht="24.95" customHeight="1">
      <c r="A8" s="68" t="s">
        <v>17</v>
      </c>
      <c r="B8" s="7">
        <v>640</v>
      </c>
      <c r="C8" s="70">
        <f>'2568'!G8</f>
        <v>594.60000000003492</v>
      </c>
      <c r="D8" s="67">
        <f t="shared" si="0"/>
        <v>4756.8000000002794</v>
      </c>
      <c r="E8" s="67">
        <f t="shared" si="1"/>
        <v>0.92906250000005453</v>
      </c>
      <c r="F8" s="69"/>
      <c r="G8" s="69">
        <f t="shared" si="2"/>
        <v>858.29999999998836</v>
      </c>
      <c r="H8" s="67"/>
      <c r="I8" s="67" t="e">
        <f t="shared" si="3"/>
        <v>#DIV/0!</v>
      </c>
      <c r="J8" s="19">
        <f t="shared" si="4"/>
        <v>0.44349142280514287</v>
      </c>
      <c r="K8" s="20" t="e">
        <f t="shared" si="5"/>
        <v>#DIV/0!</v>
      </c>
      <c r="M8" s="83" t="s">
        <v>63</v>
      </c>
      <c r="N8" s="76">
        <v>289598.8</v>
      </c>
      <c r="O8" s="76">
        <v>288740.5</v>
      </c>
      <c r="P8" s="84">
        <f t="shared" si="6"/>
        <v>858.29999999998836</v>
      </c>
    </row>
    <row r="9" spans="1:19" ht="24.95" customHeight="1">
      <c r="A9" s="68" t="s">
        <v>18</v>
      </c>
      <c r="B9" s="7">
        <v>790</v>
      </c>
      <c r="C9" s="70">
        <f>'2568'!G9</f>
        <v>697.29999999998836</v>
      </c>
      <c r="D9" s="67">
        <f t="shared" si="0"/>
        <v>5578.3999999999069</v>
      </c>
      <c r="E9" s="67">
        <f t="shared" si="1"/>
        <v>0.88265822784808656</v>
      </c>
      <c r="F9" s="69"/>
      <c r="G9" s="69">
        <f t="shared" si="2"/>
        <v>539.96</v>
      </c>
      <c r="H9" s="67"/>
      <c r="I9" s="67" t="e">
        <f t="shared" si="3"/>
        <v>#DIV/0!</v>
      </c>
      <c r="J9" s="19">
        <f t="shared" si="4"/>
        <v>-0.22564176107843245</v>
      </c>
      <c r="K9" s="20" t="e">
        <f t="shared" si="5"/>
        <v>#DIV/0!</v>
      </c>
      <c r="M9" s="83" t="s">
        <v>64</v>
      </c>
      <c r="N9" s="77">
        <v>1188.43</v>
      </c>
      <c r="O9" s="77">
        <v>648.47</v>
      </c>
      <c r="P9" s="84">
        <f t="shared" si="6"/>
        <v>539.96</v>
      </c>
    </row>
    <row r="10" spans="1:19" ht="24.95" customHeight="1">
      <c r="A10" s="68" t="s">
        <v>19</v>
      </c>
      <c r="B10" s="7">
        <v>2050</v>
      </c>
      <c r="C10" s="70">
        <f>'2568'!G10</f>
        <v>662.70000000001164</v>
      </c>
      <c r="D10" s="67">
        <f t="shared" si="0"/>
        <v>5301.6000000000931</v>
      </c>
      <c r="E10" s="67">
        <f t="shared" si="1"/>
        <v>0.3232682926829325</v>
      </c>
      <c r="F10" s="69"/>
      <c r="G10" s="69">
        <f t="shared" si="2"/>
        <v>574.71</v>
      </c>
      <c r="H10" s="67"/>
      <c r="I10" s="67" t="e">
        <f t="shared" si="3"/>
        <v>#DIV/0!</v>
      </c>
      <c r="J10" s="19">
        <f t="shared" si="4"/>
        <v>-0.13277501131735334</v>
      </c>
      <c r="K10" s="20" t="e">
        <f t="shared" si="5"/>
        <v>#DIV/0!</v>
      </c>
      <c r="M10" s="83" t="s">
        <v>65</v>
      </c>
      <c r="N10" s="77">
        <v>1763.14</v>
      </c>
      <c r="O10" s="77">
        <v>1188.43</v>
      </c>
      <c r="P10" s="84">
        <f t="shared" si="6"/>
        <v>574.71</v>
      </c>
    </row>
    <row r="11" spans="1:19" ht="24.95" customHeight="1">
      <c r="A11" s="68" t="s">
        <v>20</v>
      </c>
      <c r="B11" s="7">
        <v>1305</v>
      </c>
      <c r="C11" s="70">
        <f>'2568'!G11</f>
        <v>642.69999999995343</v>
      </c>
      <c r="D11" s="67">
        <f t="shared" si="0"/>
        <v>5141.5999999996275</v>
      </c>
      <c r="E11" s="67">
        <f t="shared" si="1"/>
        <v>0.49249042145590299</v>
      </c>
      <c r="F11" s="69"/>
      <c r="G11" s="69">
        <f t="shared" si="2"/>
        <v>646.3599999999999</v>
      </c>
      <c r="H11" s="67"/>
      <c r="I11" s="67" t="e">
        <f t="shared" si="3"/>
        <v>#DIV/0!</v>
      </c>
      <c r="J11" s="19">
        <f t="shared" si="4"/>
        <v>5.6947253773871652E-3</v>
      </c>
      <c r="K11" s="20" t="e">
        <f t="shared" si="5"/>
        <v>#DIV/0!</v>
      </c>
      <c r="M11" s="83" t="s">
        <v>66</v>
      </c>
      <c r="N11" s="77">
        <v>2409.5</v>
      </c>
      <c r="O11" s="77">
        <v>1763.14</v>
      </c>
      <c r="P11" s="84">
        <f t="shared" si="6"/>
        <v>646.3599999999999</v>
      </c>
    </row>
    <row r="12" spans="1:19" ht="24.95" customHeight="1">
      <c r="A12" s="68" t="s">
        <v>21</v>
      </c>
      <c r="B12" s="7">
        <v>1375</v>
      </c>
      <c r="C12" s="70">
        <f>'2568'!G12</f>
        <v>696.5</v>
      </c>
      <c r="D12" s="67">
        <f t="shared" si="0"/>
        <v>5572</v>
      </c>
      <c r="E12" s="67">
        <f t="shared" si="1"/>
        <v>0.50654545454545452</v>
      </c>
      <c r="F12" s="69"/>
      <c r="G12" s="69">
        <f t="shared" si="2"/>
        <v>0</v>
      </c>
      <c r="H12" s="67"/>
      <c r="I12" s="67" t="e">
        <f t="shared" si="3"/>
        <v>#DIV/0!</v>
      </c>
      <c r="J12" s="19">
        <f t="shared" si="4"/>
        <v>-1</v>
      </c>
      <c r="K12" s="20" t="e">
        <f t="shared" si="5"/>
        <v>#DIV/0!</v>
      </c>
      <c r="M12" s="83" t="s">
        <v>67</v>
      </c>
      <c r="N12" s="77"/>
      <c r="O12" s="77"/>
      <c r="P12" s="84">
        <f t="shared" si="6"/>
        <v>0</v>
      </c>
    </row>
    <row r="13" spans="1:19" ht="24.95" customHeight="1">
      <c r="A13" s="68" t="s">
        <v>22</v>
      </c>
      <c r="B13" s="7">
        <v>1245</v>
      </c>
      <c r="C13" s="70">
        <f>'2568'!G13</f>
        <v>734.10000000003492</v>
      </c>
      <c r="D13" s="67">
        <f t="shared" si="0"/>
        <v>5872.8000000002794</v>
      </c>
      <c r="E13" s="67">
        <f t="shared" si="1"/>
        <v>0.58963855421689548</v>
      </c>
      <c r="F13" s="69"/>
      <c r="G13" s="69">
        <f t="shared" si="2"/>
        <v>0</v>
      </c>
      <c r="H13" s="67"/>
      <c r="I13" s="67" t="e">
        <f t="shared" si="3"/>
        <v>#DIV/0!</v>
      </c>
      <c r="J13" s="19">
        <f t="shared" si="4"/>
        <v>-1</v>
      </c>
      <c r="K13" s="20" t="e">
        <f t="shared" si="5"/>
        <v>#DIV/0!</v>
      </c>
      <c r="M13" s="83" t="s">
        <v>68</v>
      </c>
      <c r="N13" s="77"/>
      <c r="O13" s="77"/>
      <c r="P13" s="84">
        <f t="shared" si="6"/>
        <v>0</v>
      </c>
    </row>
    <row r="14" spans="1:19" ht="24.95" customHeight="1">
      <c r="A14" s="68" t="s">
        <v>23</v>
      </c>
      <c r="B14" s="7">
        <v>1010</v>
      </c>
      <c r="C14" s="70">
        <f>'2568'!G14</f>
        <v>599.39999999996508</v>
      </c>
      <c r="D14" s="67">
        <f t="shared" si="0"/>
        <v>4795.1999999997206</v>
      </c>
      <c r="E14" s="67">
        <f t="shared" si="1"/>
        <v>0.59346534653461891</v>
      </c>
      <c r="F14" s="69"/>
      <c r="G14" s="69">
        <f t="shared" si="2"/>
        <v>0</v>
      </c>
      <c r="H14" s="67"/>
      <c r="I14" s="67" t="e">
        <f t="shared" si="3"/>
        <v>#DIV/0!</v>
      </c>
      <c r="J14" s="19">
        <f t="shared" si="4"/>
        <v>-1</v>
      </c>
      <c r="K14" s="20" t="e">
        <f t="shared" si="5"/>
        <v>#DIV/0!</v>
      </c>
      <c r="M14" s="83" t="s">
        <v>69</v>
      </c>
      <c r="N14" s="77"/>
      <c r="O14" s="77"/>
      <c r="P14" s="84">
        <f t="shared" si="6"/>
        <v>0</v>
      </c>
    </row>
    <row r="15" spans="1:19" ht="24.95" customHeight="1">
      <c r="A15" s="68" t="s">
        <v>24</v>
      </c>
      <c r="B15" s="7">
        <v>815</v>
      </c>
      <c r="C15" s="70">
        <f>'2568'!G15</f>
        <v>840.60000000003492</v>
      </c>
      <c r="D15" s="67">
        <f t="shared" si="0"/>
        <v>6724.8000000002794</v>
      </c>
      <c r="E15" s="67">
        <f t="shared" si="1"/>
        <v>1.0314110429448282</v>
      </c>
      <c r="F15" s="69"/>
      <c r="G15" s="69">
        <f t="shared" si="2"/>
        <v>0</v>
      </c>
      <c r="H15" s="67"/>
      <c r="I15" s="67" t="e">
        <f t="shared" si="3"/>
        <v>#DIV/0!</v>
      </c>
      <c r="J15" s="19">
        <f t="shared" si="4"/>
        <v>-1</v>
      </c>
      <c r="K15" s="20" t="e">
        <f t="shared" si="5"/>
        <v>#DIV/0!</v>
      </c>
      <c r="M15" s="83" t="s">
        <v>70</v>
      </c>
      <c r="N15" s="77"/>
      <c r="O15" s="77"/>
      <c r="P15" s="84">
        <f t="shared" si="6"/>
        <v>0</v>
      </c>
    </row>
    <row r="16" spans="1:19" ht="24.95" customHeight="1" thickBot="1">
      <c r="A16" s="68" t="s">
        <v>25</v>
      </c>
      <c r="B16" s="7">
        <v>940</v>
      </c>
      <c r="C16" s="70">
        <f>'2568'!G16</f>
        <v>928.09999999997672</v>
      </c>
      <c r="D16" s="67">
        <f t="shared" si="0"/>
        <v>7424.7999999998137</v>
      </c>
      <c r="E16" s="67">
        <f t="shared" si="1"/>
        <v>0.98734042553189016</v>
      </c>
      <c r="F16" s="69"/>
      <c r="G16" s="69">
        <f t="shared" si="2"/>
        <v>0</v>
      </c>
      <c r="H16" s="67"/>
      <c r="I16" s="67" t="e">
        <f t="shared" si="3"/>
        <v>#DIV/0!</v>
      </c>
      <c r="J16" s="19">
        <f t="shared" si="4"/>
        <v>-1</v>
      </c>
      <c r="K16" s="20" t="e">
        <f t="shared" si="5"/>
        <v>#DIV/0!</v>
      </c>
      <c r="M16" s="85" t="s">
        <v>71</v>
      </c>
      <c r="N16" s="86"/>
      <c r="O16" s="86"/>
      <c r="P16" s="87">
        <f t="shared" si="6"/>
        <v>0</v>
      </c>
    </row>
    <row r="17" spans="1:11" ht="24.95" customHeight="1">
      <c r="A17" s="68" t="s">
        <v>26</v>
      </c>
      <c r="B17" s="67">
        <f t="shared" ref="B17:H17" si="7">AVERAGE(B5:B16)</f>
        <v>1127.9166666666667</v>
      </c>
      <c r="C17" s="67">
        <f t="shared" si="7"/>
        <v>694.79166666666663</v>
      </c>
      <c r="D17" s="67">
        <f t="shared" si="7"/>
        <v>5558.333333333333</v>
      </c>
      <c r="E17" s="67">
        <f t="shared" si="7"/>
        <v>0.70162727721453455</v>
      </c>
      <c r="F17" s="67" t="e">
        <f t="shared" si="7"/>
        <v>#DIV/0!</v>
      </c>
      <c r="G17" s="67">
        <f t="shared" si="7"/>
        <v>464.33583333333331</v>
      </c>
      <c r="H17" s="67" t="e">
        <f t="shared" si="7"/>
        <v>#DIV/0!</v>
      </c>
      <c r="I17" s="67" t="e">
        <f>G17/F17</f>
        <v>#DIV/0!</v>
      </c>
      <c r="J17" s="19">
        <f>(G17-C17)/C17</f>
        <v>-0.3316905547226387</v>
      </c>
      <c r="K17" s="20" t="e">
        <f>(I17-E17)/E17</f>
        <v>#DIV/0!</v>
      </c>
    </row>
    <row r="18" spans="1:11" ht="24.95" customHeight="1">
      <c r="A18" s="68" t="s">
        <v>27</v>
      </c>
      <c r="B18" s="67">
        <f t="shared" ref="B18:I18" si="8">SUM(B5:B16)</f>
        <v>13535</v>
      </c>
      <c r="C18" s="67">
        <f t="shared" si="8"/>
        <v>8337.5</v>
      </c>
      <c r="D18" s="67">
        <f t="shared" si="8"/>
        <v>66700</v>
      </c>
      <c r="E18" s="67">
        <f t="shared" si="8"/>
        <v>8.4195273265744142</v>
      </c>
      <c r="F18" s="67">
        <f t="shared" si="8"/>
        <v>0</v>
      </c>
      <c r="G18" s="67">
        <f t="shared" si="8"/>
        <v>5572.03</v>
      </c>
      <c r="H18" s="67">
        <f t="shared" si="8"/>
        <v>0</v>
      </c>
      <c r="I18" s="67" t="e">
        <f t="shared" si="8"/>
        <v>#DIV/0!</v>
      </c>
      <c r="J18" s="19">
        <f t="shared" si="4"/>
        <v>-0.3316905547226387</v>
      </c>
      <c r="K18" s="20" t="e">
        <f t="shared" si="5"/>
        <v>#DIV/0!</v>
      </c>
    </row>
    <row r="19" spans="1:11" ht="11.45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3"/>
    </row>
    <row r="20" spans="1:11" ht="21.75" customHeight="1">
      <c r="A20" s="66"/>
      <c r="B20" s="65"/>
      <c r="C20" s="65"/>
      <c r="D20" s="65"/>
      <c r="E20" s="65"/>
      <c r="F20" s="65"/>
      <c r="G20" s="65"/>
      <c r="H20" s="65"/>
      <c r="I20" s="65"/>
      <c r="J20" s="65"/>
      <c r="K20" s="63"/>
    </row>
    <row r="21" spans="1:11" ht="21.75" customHeight="1">
      <c r="A21" s="64"/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40" spans="1:12" ht="21.95" customHeight="1"/>
    <row r="43" spans="1:12" ht="21.75" customHeight="1">
      <c r="A43" s="92" t="s">
        <v>28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1:12" ht="21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</row>
    <row r="45" spans="1:12" ht="21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spans="1:12" ht="21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</row>
    <row r="47" spans="1:12" ht="38.450000000000003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</row>
    <row r="48" spans="1:12" s="60" customFormat="1" ht="38.450000000000003" customHeight="1">
      <c r="A48" s="61"/>
      <c r="B48" s="61"/>
      <c r="D48" s="62"/>
      <c r="E48" s="62" t="s">
        <v>29</v>
      </c>
      <c r="F48" s="62"/>
      <c r="G48" s="62"/>
      <c r="H48" s="62" t="s">
        <v>30</v>
      </c>
      <c r="I48" s="62"/>
      <c r="J48" s="61"/>
      <c r="K48" s="61"/>
      <c r="L48" s="61"/>
    </row>
    <row r="49" spans="1:17" ht="42" customHeight="1">
      <c r="A49" s="93" t="s">
        <v>31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N49" s="59"/>
      <c r="O49" s="57"/>
      <c r="P49" s="58"/>
      <c r="Q49" s="57"/>
    </row>
    <row r="50" spans="1:17" s="49" customFormat="1" ht="30" customHeight="1">
      <c r="A50" s="54" t="s">
        <v>32</v>
      </c>
      <c r="B50" s="54"/>
      <c r="C50" s="54"/>
      <c r="D50" s="54" t="s">
        <v>29</v>
      </c>
      <c r="E50" s="54"/>
      <c r="F50" s="54"/>
      <c r="G50" s="54" t="s">
        <v>30</v>
      </c>
      <c r="H50" s="54"/>
      <c r="I50" s="54"/>
      <c r="J50" s="54"/>
      <c r="K50" s="54"/>
      <c r="L50" s="54"/>
    </row>
    <row r="51" spans="1:17" s="49" customFormat="1" ht="50.1" customHeight="1">
      <c r="A51" s="51" t="s">
        <v>33</v>
      </c>
      <c r="B51" s="51"/>
      <c r="C51" s="56"/>
    </row>
    <row r="52" spans="1:17" s="49" customFormat="1" ht="50.1" customHeight="1">
      <c r="A52" s="94" t="s">
        <v>34</v>
      </c>
      <c r="B52" s="94"/>
      <c r="C52" s="53"/>
      <c r="D52" s="52"/>
    </row>
    <row r="53" spans="1:17" s="49" customFormat="1" ht="50.1" customHeight="1">
      <c r="A53" s="51" t="s">
        <v>35</v>
      </c>
      <c r="B53" s="51"/>
      <c r="C53" s="51"/>
    </row>
    <row r="54" spans="1:17" s="49" customFormat="1" ht="30" customHeight="1">
      <c r="A54" s="54" t="s">
        <v>36</v>
      </c>
      <c r="B54" s="54"/>
      <c r="C54" s="54"/>
      <c r="D54" s="54" t="s">
        <v>29</v>
      </c>
      <c r="E54" s="54"/>
      <c r="F54" s="54"/>
      <c r="G54" s="54" t="s">
        <v>30</v>
      </c>
      <c r="H54" s="54"/>
      <c r="I54" s="54"/>
      <c r="J54" s="54"/>
      <c r="K54" s="54"/>
      <c r="L54" s="54"/>
    </row>
    <row r="55" spans="1:17" s="49" customFormat="1" ht="50.1" customHeight="1">
      <c r="A55" s="51" t="s">
        <v>33</v>
      </c>
      <c r="B55" s="51"/>
      <c r="C55" s="51"/>
      <c r="D55" s="51"/>
    </row>
    <row r="56" spans="1:17" s="49" customFormat="1" ht="50.1" customHeight="1">
      <c r="A56" s="94" t="s">
        <v>34</v>
      </c>
      <c r="B56" s="94"/>
      <c r="C56" s="53"/>
      <c r="D56" s="52"/>
    </row>
    <row r="57" spans="1:17" s="49" customFormat="1" ht="50.1" customHeight="1">
      <c r="A57" s="51" t="s">
        <v>35</v>
      </c>
      <c r="B57" s="51"/>
      <c r="C57" s="51"/>
    </row>
    <row r="58" spans="1:17" s="49" customFormat="1" ht="30" customHeight="1">
      <c r="A58" s="54" t="s">
        <v>37</v>
      </c>
      <c r="B58" s="54"/>
      <c r="C58" s="54"/>
      <c r="D58" s="54" t="s">
        <v>29</v>
      </c>
      <c r="E58" s="54"/>
      <c r="F58" s="54"/>
      <c r="G58" s="54" t="s">
        <v>30</v>
      </c>
      <c r="H58" s="54"/>
      <c r="I58" s="54"/>
      <c r="J58" s="54"/>
      <c r="K58" s="54"/>
      <c r="L58" s="54"/>
    </row>
    <row r="59" spans="1:17" s="49" customFormat="1" ht="50.1" customHeight="1">
      <c r="A59" s="51" t="s">
        <v>33</v>
      </c>
      <c r="B59" s="51"/>
      <c r="C59" s="51"/>
      <c r="D59" s="51"/>
    </row>
    <row r="60" spans="1:17" s="49" customFormat="1" ht="50.1" customHeight="1">
      <c r="A60" s="88" t="s">
        <v>34</v>
      </c>
      <c r="B60" s="88"/>
      <c r="C60" s="53"/>
      <c r="D60" s="52"/>
    </row>
    <row r="61" spans="1:17" s="49" customFormat="1" ht="50.1" customHeight="1">
      <c r="A61" s="51" t="s">
        <v>35</v>
      </c>
      <c r="B61" s="51"/>
      <c r="C61" s="51"/>
    </row>
    <row r="62" spans="1:17" s="49" customFormat="1" ht="30" customHeight="1">
      <c r="A62" s="54" t="s">
        <v>38</v>
      </c>
      <c r="B62" s="54"/>
      <c r="C62" s="54"/>
      <c r="D62" s="54" t="s">
        <v>29</v>
      </c>
      <c r="E62" s="54"/>
      <c r="F62" s="54"/>
      <c r="G62" s="54" t="s">
        <v>30</v>
      </c>
      <c r="H62" s="54"/>
      <c r="I62" s="54"/>
      <c r="J62" s="54"/>
      <c r="K62" s="54"/>
      <c r="L62" s="54"/>
    </row>
    <row r="63" spans="1:17" s="49" customFormat="1" ht="50.1" customHeight="1">
      <c r="A63" s="51" t="s">
        <v>33</v>
      </c>
      <c r="B63" s="51"/>
      <c r="C63" s="51"/>
      <c r="D63" s="51"/>
    </row>
    <row r="64" spans="1:17" s="49" customFormat="1" ht="50.1" customHeight="1">
      <c r="A64" s="88" t="s">
        <v>34</v>
      </c>
      <c r="B64" s="88"/>
      <c r="C64" s="53"/>
      <c r="D64" s="52"/>
    </row>
    <row r="65" spans="1:12" s="49" customFormat="1" ht="50.1" customHeight="1">
      <c r="A65" s="51" t="s">
        <v>35</v>
      </c>
      <c r="B65" s="51"/>
      <c r="C65" s="51"/>
    </row>
    <row r="66" spans="1:12" s="49" customFormat="1" ht="30" customHeight="1">
      <c r="A66" s="54" t="s">
        <v>39</v>
      </c>
      <c r="B66" s="54"/>
      <c r="C66" s="54"/>
      <c r="D66" s="54" t="s">
        <v>29</v>
      </c>
      <c r="E66" s="54"/>
      <c r="F66" s="54"/>
      <c r="G66" s="54" t="s">
        <v>30</v>
      </c>
      <c r="H66" s="54"/>
      <c r="I66" s="54"/>
      <c r="J66" s="54"/>
      <c r="K66" s="54"/>
      <c r="L66" s="54"/>
    </row>
    <row r="67" spans="1:12" s="49" customFormat="1" ht="50.1" customHeight="1">
      <c r="A67" s="51" t="s">
        <v>33</v>
      </c>
      <c r="B67" s="51"/>
      <c r="C67" s="51"/>
      <c r="D67" s="51"/>
    </row>
    <row r="68" spans="1:12" s="49" customFormat="1" ht="50.1" customHeight="1">
      <c r="A68" s="88" t="s">
        <v>34</v>
      </c>
      <c r="B68" s="88"/>
      <c r="C68" s="53"/>
    </row>
    <row r="69" spans="1:12" s="49" customFormat="1" ht="50.1" customHeight="1">
      <c r="A69" s="51" t="s">
        <v>35</v>
      </c>
      <c r="B69" s="51"/>
      <c r="C69" s="51"/>
    </row>
    <row r="70" spans="1:12" s="49" customFormat="1" ht="30" customHeight="1">
      <c r="A70" s="54" t="s">
        <v>40</v>
      </c>
      <c r="B70" s="54"/>
      <c r="C70" s="54"/>
      <c r="D70" s="54" t="s">
        <v>29</v>
      </c>
      <c r="E70" s="54"/>
      <c r="F70" s="54"/>
      <c r="G70" s="54" t="s">
        <v>30</v>
      </c>
      <c r="H70" s="54"/>
      <c r="I70" s="54"/>
      <c r="J70" s="54"/>
      <c r="K70" s="54"/>
      <c r="L70" s="54"/>
    </row>
    <row r="71" spans="1:12" s="49" customFormat="1" ht="50.1" customHeight="1">
      <c r="A71" s="51" t="s">
        <v>33</v>
      </c>
      <c r="B71" s="51"/>
      <c r="C71" s="51"/>
      <c r="D71" s="51"/>
    </row>
    <row r="72" spans="1:12" s="49" customFormat="1" ht="50.1" customHeight="1">
      <c r="A72" s="88" t="s">
        <v>34</v>
      </c>
      <c r="B72" s="88"/>
      <c r="C72" s="53"/>
      <c r="D72" s="52"/>
    </row>
    <row r="73" spans="1:12" s="49" customFormat="1" ht="50.1" customHeight="1">
      <c r="A73" s="51" t="s">
        <v>35</v>
      </c>
      <c r="B73" s="51"/>
      <c r="C73" s="51"/>
      <c r="E73" s="50"/>
      <c r="F73" s="50"/>
    </row>
    <row r="74" spans="1:12" s="49" customFormat="1" ht="30" customHeight="1">
      <c r="A74" s="54" t="s">
        <v>41</v>
      </c>
      <c r="B74" s="54"/>
      <c r="C74" s="54"/>
      <c r="D74" s="54" t="s">
        <v>29</v>
      </c>
      <c r="E74" s="54"/>
      <c r="F74" s="54"/>
      <c r="G74" s="54" t="s">
        <v>30</v>
      </c>
      <c r="H74" s="54"/>
      <c r="I74" s="54"/>
      <c r="J74" s="54"/>
      <c r="K74" s="54"/>
      <c r="L74" s="54"/>
    </row>
    <row r="75" spans="1:12" s="49" customFormat="1" ht="39.950000000000003" customHeight="1">
      <c r="A75" s="51" t="s">
        <v>33</v>
      </c>
      <c r="B75" s="51"/>
      <c r="C75" s="56"/>
    </row>
    <row r="76" spans="1:12" s="49" customFormat="1" ht="39.950000000000003" customHeight="1">
      <c r="A76" s="94" t="s">
        <v>34</v>
      </c>
      <c r="B76" s="94"/>
      <c r="C76" s="53"/>
      <c r="D76" s="52"/>
    </row>
    <row r="77" spans="1:12" s="49" customFormat="1" ht="39.950000000000003" customHeight="1">
      <c r="A77" s="51" t="s">
        <v>35</v>
      </c>
      <c r="B77" s="51"/>
      <c r="C77" s="51"/>
    </row>
    <row r="78" spans="1:12" s="49" customFormat="1" ht="30" customHeight="1">
      <c r="A78" s="54" t="s">
        <v>42</v>
      </c>
      <c r="B78" s="54"/>
      <c r="C78" s="54"/>
      <c r="D78" s="54" t="s">
        <v>29</v>
      </c>
      <c r="E78" s="54"/>
      <c r="F78" s="54"/>
      <c r="G78" s="54" t="s">
        <v>30</v>
      </c>
      <c r="H78" s="54"/>
      <c r="I78" s="54"/>
      <c r="J78" s="54"/>
      <c r="K78" s="54"/>
      <c r="L78" s="54"/>
    </row>
    <row r="79" spans="1:12" s="49" customFormat="1" ht="39.950000000000003" customHeight="1">
      <c r="A79" s="51" t="s">
        <v>33</v>
      </c>
      <c r="B79" s="51"/>
      <c r="C79" s="51"/>
      <c r="D79" s="51"/>
    </row>
    <row r="80" spans="1:12" s="49" customFormat="1" ht="39.950000000000003" customHeight="1">
      <c r="A80" s="94" t="s">
        <v>34</v>
      </c>
      <c r="B80" s="94"/>
      <c r="C80" s="53"/>
      <c r="D80" s="52"/>
    </row>
    <row r="81" spans="1:19" s="49" customFormat="1" ht="39.950000000000003" customHeight="1">
      <c r="A81" s="51" t="s">
        <v>35</v>
      </c>
      <c r="B81" s="51"/>
      <c r="C81" s="51"/>
    </row>
    <row r="82" spans="1:19" s="49" customFormat="1" ht="30" customHeight="1">
      <c r="A82" s="54" t="s">
        <v>43</v>
      </c>
      <c r="B82" s="54"/>
      <c r="C82" s="54"/>
      <c r="D82" s="54" t="s">
        <v>29</v>
      </c>
      <c r="E82" s="54"/>
      <c r="F82" s="54"/>
      <c r="G82" s="54" t="s">
        <v>30</v>
      </c>
      <c r="H82" s="54"/>
      <c r="I82" s="54"/>
      <c r="J82" s="54"/>
      <c r="K82" s="54"/>
      <c r="L82" s="54"/>
    </row>
    <row r="83" spans="1:19" s="49" customFormat="1" ht="39.950000000000003" customHeight="1">
      <c r="A83" s="51" t="s">
        <v>33</v>
      </c>
      <c r="B83" s="51"/>
      <c r="C83" s="51"/>
      <c r="D83" s="51"/>
      <c r="M83" s="55"/>
      <c r="N83" s="55"/>
      <c r="O83" s="55"/>
      <c r="P83" s="55"/>
      <c r="Q83" s="55"/>
      <c r="R83" s="55"/>
      <c r="S83" s="55"/>
    </row>
    <row r="84" spans="1:19" s="49" customFormat="1" ht="39.950000000000003" customHeight="1">
      <c r="A84" s="88" t="s">
        <v>34</v>
      </c>
      <c r="B84" s="88"/>
      <c r="C84" s="53"/>
      <c r="D84" s="52"/>
      <c r="M84" s="55"/>
      <c r="N84" s="55"/>
      <c r="O84" s="55"/>
      <c r="P84" s="55"/>
      <c r="Q84" s="55"/>
      <c r="R84" s="55"/>
      <c r="S84" s="55"/>
    </row>
    <row r="85" spans="1:19" s="49" customFormat="1" ht="39.950000000000003" customHeight="1">
      <c r="A85" s="51" t="s">
        <v>35</v>
      </c>
      <c r="B85" s="51"/>
      <c r="C85" s="51"/>
      <c r="M85" s="55"/>
      <c r="N85" s="55"/>
      <c r="O85" s="55"/>
      <c r="P85" s="55"/>
      <c r="Q85" s="55"/>
      <c r="R85" s="55"/>
      <c r="S85" s="55"/>
    </row>
    <row r="86" spans="1:19" s="49" customFormat="1" ht="30" customHeight="1">
      <c r="A86" s="54" t="s">
        <v>44</v>
      </c>
      <c r="B86" s="54"/>
      <c r="C86" s="54"/>
      <c r="D86" s="54" t="s">
        <v>29</v>
      </c>
      <c r="E86" s="54"/>
      <c r="F86" s="54"/>
      <c r="G86" s="54" t="s">
        <v>30</v>
      </c>
      <c r="H86" s="54"/>
      <c r="I86" s="54"/>
      <c r="J86" s="54"/>
      <c r="K86" s="54"/>
      <c r="L86" s="54"/>
    </row>
    <row r="87" spans="1:19" s="48" customFormat="1" ht="39.950000000000003" customHeight="1">
      <c r="A87" s="51" t="s">
        <v>33</v>
      </c>
      <c r="B87" s="51"/>
      <c r="C87" s="51"/>
      <c r="D87" s="51"/>
      <c r="E87" s="49"/>
      <c r="F87" s="49"/>
      <c r="G87" s="49"/>
      <c r="H87" s="49"/>
      <c r="I87" s="49"/>
      <c r="J87" s="49"/>
      <c r="K87" s="49"/>
      <c r="L87" s="49"/>
    </row>
    <row r="88" spans="1:19" s="48" customFormat="1" ht="39.950000000000003" customHeight="1">
      <c r="A88" s="88" t="s">
        <v>34</v>
      </c>
      <c r="B88" s="88"/>
      <c r="C88" s="53"/>
      <c r="D88" s="52"/>
      <c r="E88" s="49"/>
      <c r="F88" s="49"/>
      <c r="G88" s="49"/>
      <c r="H88" s="49"/>
      <c r="I88" s="49"/>
      <c r="J88" s="49"/>
      <c r="K88" s="49"/>
      <c r="L88" s="49"/>
    </row>
    <row r="89" spans="1:19" s="48" customFormat="1" ht="39.950000000000003" customHeight="1">
      <c r="A89" s="51" t="s">
        <v>35</v>
      </c>
      <c r="B89" s="51"/>
      <c r="C89" s="51"/>
      <c r="D89" s="49"/>
      <c r="E89" s="49"/>
      <c r="F89" s="49"/>
      <c r="G89" s="49"/>
      <c r="H89" s="49"/>
      <c r="I89" s="49"/>
      <c r="J89" s="49"/>
      <c r="K89" s="49"/>
      <c r="L89" s="49"/>
    </row>
    <row r="90" spans="1:19" s="48" customFormat="1" ht="30" customHeight="1">
      <c r="A90" s="54" t="s">
        <v>45</v>
      </c>
      <c r="B90" s="54"/>
      <c r="C90" s="54"/>
      <c r="D90" s="54" t="s">
        <v>29</v>
      </c>
      <c r="E90" s="54"/>
      <c r="F90" s="54"/>
      <c r="G90" s="54" t="s">
        <v>30</v>
      </c>
      <c r="H90" s="54"/>
      <c r="I90" s="54"/>
      <c r="J90" s="54"/>
      <c r="K90" s="54"/>
      <c r="L90" s="54"/>
    </row>
    <row r="91" spans="1:19" s="48" customFormat="1" ht="39.950000000000003" customHeight="1">
      <c r="A91" s="51" t="s">
        <v>33</v>
      </c>
      <c r="B91" s="51"/>
      <c r="C91" s="51"/>
      <c r="D91" s="51"/>
      <c r="E91" s="49"/>
      <c r="F91" s="49"/>
      <c r="G91" s="49"/>
      <c r="H91" s="49"/>
      <c r="I91" s="49"/>
      <c r="J91" s="49"/>
      <c r="K91" s="49"/>
      <c r="L91" s="49"/>
    </row>
    <row r="92" spans="1:19" s="48" customFormat="1" ht="39.950000000000003" customHeight="1">
      <c r="A92" s="88" t="s">
        <v>34</v>
      </c>
      <c r="B92" s="88"/>
      <c r="C92" s="53"/>
      <c r="D92" s="49"/>
      <c r="E92" s="49"/>
      <c r="F92" s="49"/>
      <c r="G92" s="49"/>
      <c r="H92" s="49"/>
      <c r="I92" s="49"/>
      <c r="J92" s="49"/>
      <c r="K92" s="49"/>
      <c r="L92" s="49"/>
    </row>
    <row r="93" spans="1:19" s="48" customFormat="1" ht="39.950000000000003" customHeight="1">
      <c r="A93" s="51" t="s">
        <v>35</v>
      </c>
      <c r="B93" s="51"/>
      <c r="C93" s="51"/>
      <c r="D93" s="49"/>
      <c r="E93" s="49"/>
      <c r="F93" s="49"/>
      <c r="G93" s="49"/>
      <c r="H93" s="49"/>
      <c r="I93" s="49"/>
      <c r="J93" s="49"/>
      <c r="K93" s="49"/>
      <c r="L93" s="49"/>
    </row>
    <row r="94" spans="1:19" s="48" customFormat="1" ht="30" customHeight="1">
      <c r="A94" s="54" t="s">
        <v>46</v>
      </c>
      <c r="B94" s="54"/>
      <c r="C94" s="54"/>
      <c r="D94" s="54" t="s">
        <v>29</v>
      </c>
      <c r="E94" s="54"/>
      <c r="F94" s="54"/>
      <c r="G94" s="54" t="s">
        <v>30</v>
      </c>
      <c r="H94" s="54"/>
      <c r="I94" s="54"/>
      <c r="J94" s="54"/>
      <c r="K94" s="54"/>
      <c r="L94" s="54"/>
    </row>
    <row r="95" spans="1:19" s="48" customFormat="1" ht="39.950000000000003" customHeight="1">
      <c r="A95" s="51" t="s">
        <v>33</v>
      </c>
      <c r="B95" s="51"/>
      <c r="C95" s="51"/>
      <c r="D95" s="51"/>
      <c r="E95" s="49"/>
      <c r="F95" s="49"/>
      <c r="G95" s="49"/>
      <c r="H95" s="49"/>
      <c r="I95" s="49"/>
      <c r="J95" s="49"/>
      <c r="K95" s="49"/>
      <c r="L95" s="49"/>
    </row>
    <row r="96" spans="1:19" s="48" customFormat="1" ht="39.950000000000003" customHeight="1">
      <c r="A96" s="88" t="s">
        <v>34</v>
      </c>
      <c r="B96" s="88"/>
      <c r="C96" s="53"/>
      <c r="D96" s="52"/>
      <c r="E96" s="49"/>
      <c r="F96" s="49"/>
      <c r="G96" s="49"/>
      <c r="H96" s="49"/>
      <c r="I96" s="49"/>
      <c r="J96" s="49"/>
      <c r="K96" s="49"/>
      <c r="L96" s="49"/>
    </row>
    <row r="97" spans="1:12" s="48" customFormat="1" ht="39.950000000000003" customHeight="1">
      <c r="A97" s="51" t="s">
        <v>35</v>
      </c>
      <c r="B97" s="51"/>
      <c r="C97" s="51"/>
      <c r="D97" s="49"/>
      <c r="E97" s="50"/>
      <c r="F97" s="50"/>
      <c r="G97" s="49"/>
      <c r="H97" s="49"/>
      <c r="I97" s="49"/>
      <c r="J97" s="49"/>
      <c r="K97" s="49"/>
      <c r="L97" s="49"/>
    </row>
    <row r="98" spans="1:12" ht="21.75" customHeight="1">
      <c r="A98" s="46"/>
    </row>
    <row r="99" spans="1:12" ht="21.75" customHeight="1">
      <c r="A99" s="46"/>
    </row>
  </sheetData>
  <mergeCells count="19">
    <mergeCell ref="A96:B96"/>
    <mergeCell ref="A72:B72"/>
    <mergeCell ref="A76:B76"/>
    <mergeCell ref="A80:B80"/>
    <mergeCell ref="A84:B84"/>
    <mergeCell ref="A88:B88"/>
    <mergeCell ref="A92:B92"/>
    <mergeCell ref="A68:B68"/>
    <mergeCell ref="A2:K2"/>
    <mergeCell ref="A3:A4"/>
    <mergeCell ref="B3:E3"/>
    <mergeCell ref="F3:I3"/>
    <mergeCell ref="J3:K3"/>
    <mergeCell ref="A43:L47"/>
    <mergeCell ref="A49:L49"/>
    <mergeCell ref="A52:B52"/>
    <mergeCell ref="A56:B56"/>
    <mergeCell ref="A60:B60"/>
    <mergeCell ref="A64:B64"/>
  </mergeCells>
  <pageMargins left="0.2" right="0.18" top="0.3" bottom="0.23" header="0.24" footer="0.23"/>
  <pageSetup paperSize="9" scale="70" orientation="portrait" horizontalDpi="4294967293" verticalDpi="1200" r:id="rId1"/>
  <headerFooter alignWithMargins="0"/>
  <rowBreaks count="1" manualBreakCount="1">
    <brk id="73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5FB4-5E64-4293-9688-6E37DEB77528}">
  <dimension ref="A1:F213"/>
  <sheetViews>
    <sheetView workbookViewId="0">
      <selection activeCell="L11" sqref="L11"/>
    </sheetView>
  </sheetViews>
  <sheetFormatPr defaultColWidth="9.140625" defaultRowHeight="24"/>
  <cols>
    <col min="1" max="1" width="6" style="30" customWidth="1"/>
    <col min="2" max="2" width="16.28515625" style="30" bestFit="1" customWidth="1"/>
    <col min="3" max="3" width="14.85546875" style="30" customWidth="1"/>
    <col min="4" max="4" width="24.7109375" style="30" bestFit="1" customWidth="1"/>
    <col min="5" max="5" width="11.42578125" style="30" customWidth="1"/>
    <col min="6" max="6" width="13.7109375" style="30" customWidth="1"/>
    <col min="7" max="16384" width="9.140625" style="30"/>
  </cols>
  <sheetData>
    <row r="1" spans="1:6">
      <c r="A1" s="113" t="s">
        <v>175</v>
      </c>
      <c r="B1" s="113"/>
      <c r="C1" s="113"/>
      <c r="D1" s="113"/>
      <c r="E1" s="113"/>
      <c r="F1" s="113"/>
    </row>
    <row r="2" spans="1:6">
      <c r="A2" s="31"/>
      <c r="B2" s="31"/>
      <c r="C2" s="31"/>
      <c r="D2" s="32"/>
      <c r="E2" s="31"/>
      <c r="F2" s="31"/>
    </row>
    <row r="3" spans="1:6" s="34" customFormat="1">
      <c r="A3" s="114" t="s">
        <v>176</v>
      </c>
      <c r="B3" s="114" t="s">
        <v>177</v>
      </c>
      <c r="C3" s="115" t="s">
        <v>178</v>
      </c>
      <c r="D3" s="33" t="s">
        <v>179</v>
      </c>
      <c r="E3" s="116" t="s">
        <v>180</v>
      </c>
      <c r="F3" s="114" t="s">
        <v>181</v>
      </c>
    </row>
    <row r="4" spans="1:6">
      <c r="A4" s="114"/>
      <c r="B4" s="114"/>
      <c r="C4" s="115"/>
      <c r="D4" s="35" t="s">
        <v>182</v>
      </c>
      <c r="E4" s="116"/>
      <c r="F4" s="114"/>
    </row>
    <row r="5" spans="1:6">
      <c r="A5" s="36">
        <v>1</v>
      </c>
      <c r="B5" s="36" t="s">
        <v>183</v>
      </c>
      <c r="C5" s="36" t="s">
        <v>184</v>
      </c>
      <c r="D5" s="36"/>
      <c r="E5" s="36"/>
      <c r="F5" s="36"/>
    </row>
    <row r="6" spans="1:6">
      <c r="A6" s="36">
        <v>2</v>
      </c>
      <c r="B6" s="36" t="s">
        <v>185</v>
      </c>
      <c r="C6" s="36" t="s">
        <v>184</v>
      </c>
      <c r="D6" s="36"/>
      <c r="E6" s="36"/>
      <c r="F6" s="36"/>
    </row>
    <row r="7" spans="1:6">
      <c r="A7" s="36">
        <v>3</v>
      </c>
      <c r="B7" s="36" t="s">
        <v>186</v>
      </c>
      <c r="C7" s="36" t="s">
        <v>184</v>
      </c>
      <c r="D7" s="36"/>
      <c r="E7" s="36"/>
      <c r="F7" s="36"/>
    </row>
    <row r="8" spans="1:6">
      <c r="A8" s="36">
        <v>4</v>
      </c>
      <c r="B8" s="36" t="s">
        <v>187</v>
      </c>
      <c r="C8" s="36" t="s">
        <v>184</v>
      </c>
      <c r="D8" s="36"/>
      <c r="E8" s="36"/>
      <c r="F8" s="36"/>
    </row>
    <row r="9" spans="1:6">
      <c r="A9" s="36">
        <v>5</v>
      </c>
      <c r="B9" s="36" t="s">
        <v>188</v>
      </c>
      <c r="C9" s="36" t="s">
        <v>184</v>
      </c>
      <c r="D9" s="36"/>
      <c r="E9" s="36"/>
      <c r="F9" s="36"/>
    </row>
    <row r="10" spans="1:6">
      <c r="A10" s="36">
        <v>6</v>
      </c>
      <c r="B10" s="36" t="s">
        <v>189</v>
      </c>
      <c r="C10" s="36" t="s">
        <v>184</v>
      </c>
      <c r="D10" s="36"/>
      <c r="E10" s="36"/>
      <c r="F10" s="36"/>
    </row>
    <row r="11" spans="1:6">
      <c r="A11" s="36">
        <v>7</v>
      </c>
      <c r="B11" s="36" t="s">
        <v>190</v>
      </c>
      <c r="C11" s="36" t="s">
        <v>184</v>
      </c>
      <c r="D11" s="36"/>
      <c r="E11" s="36"/>
      <c r="F11" s="36"/>
    </row>
    <row r="12" spans="1:6">
      <c r="A12" s="36">
        <v>8</v>
      </c>
      <c r="B12" s="36" t="s">
        <v>191</v>
      </c>
      <c r="C12" s="36" t="s">
        <v>184</v>
      </c>
      <c r="D12" s="36"/>
      <c r="E12" s="36"/>
      <c r="F12" s="36"/>
    </row>
    <row r="13" spans="1:6">
      <c r="A13" s="36">
        <v>9</v>
      </c>
      <c r="B13" s="36" t="s">
        <v>192</v>
      </c>
      <c r="C13" s="36" t="s">
        <v>184</v>
      </c>
      <c r="D13" s="36"/>
      <c r="E13" s="36"/>
      <c r="F13" s="36"/>
    </row>
    <row r="14" spans="1:6">
      <c r="A14" s="36">
        <v>10</v>
      </c>
      <c r="B14" s="36" t="s">
        <v>193</v>
      </c>
      <c r="C14" s="36" t="s">
        <v>184</v>
      </c>
      <c r="D14" s="36"/>
      <c r="E14" s="36"/>
      <c r="F14" s="36"/>
    </row>
    <row r="15" spans="1:6">
      <c r="A15" s="36">
        <v>11</v>
      </c>
      <c r="B15" s="36" t="s">
        <v>194</v>
      </c>
      <c r="C15" s="36" t="s">
        <v>184</v>
      </c>
      <c r="D15" s="36"/>
      <c r="E15" s="36"/>
      <c r="F15" s="36"/>
    </row>
    <row r="16" spans="1:6">
      <c r="A16" s="36">
        <v>12</v>
      </c>
      <c r="B16" s="36" t="s">
        <v>195</v>
      </c>
      <c r="C16" s="36" t="s">
        <v>184</v>
      </c>
      <c r="D16" s="36"/>
      <c r="E16" s="36"/>
      <c r="F16" s="36"/>
    </row>
    <row r="17" spans="1:6">
      <c r="A17" s="36">
        <v>13</v>
      </c>
      <c r="B17" s="36" t="s">
        <v>196</v>
      </c>
      <c r="C17" s="36" t="s">
        <v>184</v>
      </c>
      <c r="D17" s="36"/>
      <c r="E17" s="36"/>
      <c r="F17" s="36"/>
    </row>
    <row r="18" spans="1:6">
      <c r="A18" s="36">
        <v>14</v>
      </c>
      <c r="B18" s="36" t="s">
        <v>197</v>
      </c>
      <c r="C18" s="36" t="s">
        <v>184</v>
      </c>
      <c r="D18" s="36"/>
      <c r="E18" s="36"/>
      <c r="F18" s="36"/>
    </row>
    <row r="19" spans="1:6">
      <c r="A19" s="36">
        <v>15</v>
      </c>
      <c r="B19" s="36" t="s">
        <v>198</v>
      </c>
      <c r="C19" s="36" t="s">
        <v>184</v>
      </c>
      <c r="D19" s="36"/>
      <c r="E19" s="36"/>
      <c r="F19" s="36"/>
    </row>
    <row r="20" spans="1:6">
      <c r="A20" s="36">
        <v>16</v>
      </c>
      <c r="B20" s="36" t="s">
        <v>199</v>
      </c>
      <c r="C20" s="36" t="s">
        <v>184</v>
      </c>
      <c r="D20" s="36"/>
      <c r="E20" s="36"/>
      <c r="F20" s="36"/>
    </row>
    <row r="21" spans="1:6">
      <c r="A21" s="36">
        <v>17</v>
      </c>
      <c r="B21" s="36" t="s">
        <v>200</v>
      </c>
      <c r="C21" s="36" t="s">
        <v>184</v>
      </c>
      <c r="D21" s="36"/>
      <c r="E21" s="36"/>
      <c r="F21" s="36"/>
    </row>
    <row r="22" spans="1:6">
      <c r="A22" s="36">
        <v>18</v>
      </c>
      <c r="B22" s="36" t="s">
        <v>201</v>
      </c>
      <c r="C22" s="36" t="s">
        <v>184</v>
      </c>
      <c r="D22" s="36"/>
      <c r="E22" s="36"/>
      <c r="F22" s="36"/>
    </row>
    <row r="23" spans="1:6">
      <c r="A23" s="36">
        <v>19</v>
      </c>
      <c r="B23" s="36" t="s">
        <v>202</v>
      </c>
      <c r="C23" s="36" t="s">
        <v>184</v>
      </c>
      <c r="D23" s="36"/>
      <c r="E23" s="36"/>
      <c r="F23" s="36"/>
    </row>
    <row r="24" spans="1:6">
      <c r="A24" s="36">
        <v>20</v>
      </c>
      <c r="B24" s="36" t="s">
        <v>203</v>
      </c>
      <c r="C24" s="36" t="s">
        <v>184</v>
      </c>
      <c r="D24" s="36"/>
      <c r="E24" s="36"/>
      <c r="F24" s="36"/>
    </row>
    <row r="25" spans="1:6">
      <c r="A25" s="36">
        <v>21</v>
      </c>
      <c r="B25" s="36" t="s">
        <v>204</v>
      </c>
      <c r="C25" s="36" t="s">
        <v>184</v>
      </c>
      <c r="D25" s="36"/>
      <c r="E25" s="36"/>
      <c r="F25" s="36"/>
    </row>
    <row r="26" spans="1:6">
      <c r="A26" s="36">
        <v>22</v>
      </c>
      <c r="B26" s="36" t="s">
        <v>205</v>
      </c>
      <c r="C26" s="36" t="s">
        <v>184</v>
      </c>
      <c r="D26" s="36"/>
      <c r="E26" s="36"/>
      <c r="F26" s="36"/>
    </row>
    <row r="29" spans="1:6">
      <c r="D29" s="30" t="s">
        <v>206</v>
      </c>
    </row>
    <row r="30" spans="1:6">
      <c r="D30" s="30" t="s">
        <v>207</v>
      </c>
    </row>
    <row r="31" spans="1:6">
      <c r="D31" s="30" t="s">
        <v>208</v>
      </c>
    </row>
    <row r="33" spans="1:6">
      <c r="A33" s="113" t="s">
        <v>209</v>
      </c>
      <c r="B33" s="113"/>
      <c r="C33" s="113"/>
      <c r="D33" s="113"/>
      <c r="E33" s="113"/>
      <c r="F33" s="113"/>
    </row>
    <row r="34" spans="1:6">
      <c r="A34" s="31"/>
      <c r="B34" s="31"/>
      <c r="C34" s="31"/>
      <c r="D34" s="32"/>
      <c r="E34" s="31"/>
      <c r="F34" s="31"/>
    </row>
    <row r="35" spans="1:6">
      <c r="A35" s="114" t="s">
        <v>176</v>
      </c>
      <c r="B35" s="114" t="s">
        <v>177</v>
      </c>
      <c r="C35" s="115" t="s">
        <v>178</v>
      </c>
      <c r="D35" s="33" t="s">
        <v>179</v>
      </c>
      <c r="E35" s="116" t="s">
        <v>180</v>
      </c>
      <c r="F35" s="114" t="s">
        <v>181</v>
      </c>
    </row>
    <row r="36" spans="1:6">
      <c r="A36" s="114"/>
      <c r="B36" s="114"/>
      <c r="C36" s="115"/>
      <c r="D36" s="35" t="s">
        <v>182</v>
      </c>
      <c r="E36" s="116"/>
      <c r="F36" s="114"/>
    </row>
    <row r="37" spans="1:6">
      <c r="A37" s="36">
        <v>1</v>
      </c>
      <c r="B37" s="37" t="s">
        <v>210</v>
      </c>
      <c r="C37" s="36" t="s">
        <v>184</v>
      </c>
      <c r="D37" s="36"/>
      <c r="E37" s="36"/>
      <c r="F37" s="36"/>
    </row>
    <row r="38" spans="1:6">
      <c r="A38" s="36">
        <v>2</v>
      </c>
      <c r="B38" s="37" t="s">
        <v>211</v>
      </c>
      <c r="C38" s="36" t="s">
        <v>184</v>
      </c>
      <c r="D38" s="36"/>
      <c r="E38" s="36"/>
      <c r="F38" s="36"/>
    </row>
    <row r="39" spans="1:6">
      <c r="A39" s="36">
        <v>3</v>
      </c>
      <c r="B39" s="37" t="s">
        <v>212</v>
      </c>
      <c r="C39" s="36" t="s">
        <v>184</v>
      </c>
      <c r="D39" s="36"/>
      <c r="E39" s="36"/>
      <c r="F39" s="36"/>
    </row>
    <row r="40" spans="1:6">
      <c r="A40" s="36">
        <v>4</v>
      </c>
      <c r="B40" s="37" t="s">
        <v>213</v>
      </c>
      <c r="C40" s="36" t="s">
        <v>184</v>
      </c>
      <c r="D40" s="36"/>
      <c r="E40" s="36"/>
      <c r="F40" s="36"/>
    </row>
    <row r="41" spans="1:6">
      <c r="A41" s="36">
        <v>5</v>
      </c>
      <c r="B41" s="37" t="s">
        <v>214</v>
      </c>
      <c r="C41" s="36" t="s">
        <v>184</v>
      </c>
      <c r="D41" s="36"/>
      <c r="E41" s="36"/>
      <c r="F41" s="36"/>
    </row>
    <row r="42" spans="1:6">
      <c r="A42" s="36">
        <v>6</v>
      </c>
      <c r="B42" s="37" t="s">
        <v>215</v>
      </c>
      <c r="C42" s="36" t="s">
        <v>184</v>
      </c>
      <c r="D42" s="36"/>
      <c r="E42" s="36"/>
      <c r="F42" s="36"/>
    </row>
    <row r="43" spans="1:6">
      <c r="A43" s="36">
        <v>7</v>
      </c>
      <c r="B43" s="37" t="s">
        <v>216</v>
      </c>
      <c r="C43" s="36" t="s">
        <v>184</v>
      </c>
      <c r="D43" s="36"/>
      <c r="E43" s="36"/>
      <c r="F43" s="36"/>
    </row>
    <row r="44" spans="1:6">
      <c r="A44" s="36">
        <v>8</v>
      </c>
      <c r="B44" s="37" t="s">
        <v>217</v>
      </c>
      <c r="C44" s="36" t="s">
        <v>184</v>
      </c>
      <c r="D44" s="36"/>
      <c r="E44" s="36"/>
      <c r="F44" s="36"/>
    </row>
    <row r="45" spans="1:6">
      <c r="A45" s="36">
        <v>9</v>
      </c>
      <c r="B45" s="37" t="s">
        <v>218</v>
      </c>
      <c r="C45" s="36" t="s">
        <v>184</v>
      </c>
      <c r="D45" s="36"/>
      <c r="E45" s="36"/>
      <c r="F45" s="36"/>
    </row>
    <row r="46" spans="1:6">
      <c r="A46" s="36">
        <v>10</v>
      </c>
      <c r="B46" s="37" t="s">
        <v>219</v>
      </c>
      <c r="C46" s="36" t="s">
        <v>184</v>
      </c>
      <c r="D46" s="36"/>
      <c r="E46" s="36"/>
      <c r="F46" s="36"/>
    </row>
    <row r="47" spans="1:6">
      <c r="A47" s="36">
        <v>11</v>
      </c>
      <c r="B47" s="37" t="s">
        <v>220</v>
      </c>
      <c r="C47" s="36" t="s">
        <v>184</v>
      </c>
      <c r="D47" s="36"/>
      <c r="E47" s="36"/>
      <c r="F47" s="36"/>
    </row>
    <row r="48" spans="1:6">
      <c r="A48" s="36">
        <v>12</v>
      </c>
      <c r="B48" s="37" t="s">
        <v>221</v>
      </c>
      <c r="C48" s="36" t="s">
        <v>184</v>
      </c>
      <c r="D48" s="36"/>
      <c r="E48" s="36"/>
      <c r="F48" s="36"/>
    </row>
    <row r="49" spans="1:6">
      <c r="A49" s="36">
        <v>13</v>
      </c>
      <c r="B49" s="37" t="s">
        <v>222</v>
      </c>
      <c r="C49" s="36" t="s">
        <v>184</v>
      </c>
      <c r="D49" s="36"/>
      <c r="E49" s="36"/>
      <c r="F49" s="36"/>
    </row>
    <row r="50" spans="1:6">
      <c r="A50" s="36">
        <v>14</v>
      </c>
      <c r="B50" s="37" t="s">
        <v>223</v>
      </c>
      <c r="C50" s="36" t="s">
        <v>184</v>
      </c>
      <c r="D50" s="36"/>
      <c r="E50" s="36"/>
      <c r="F50" s="36"/>
    </row>
    <row r="51" spans="1:6">
      <c r="A51" s="36">
        <v>15</v>
      </c>
      <c r="B51" s="37" t="s">
        <v>224</v>
      </c>
      <c r="C51" s="36" t="s">
        <v>184</v>
      </c>
      <c r="D51" s="36"/>
      <c r="E51" s="36"/>
      <c r="F51" s="36"/>
    </row>
    <row r="52" spans="1:6">
      <c r="A52" s="36">
        <v>16</v>
      </c>
      <c r="B52" s="37" t="s">
        <v>225</v>
      </c>
      <c r="C52" s="36" t="s">
        <v>184</v>
      </c>
      <c r="D52" s="36"/>
      <c r="E52" s="36"/>
      <c r="F52" s="36"/>
    </row>
    <row r="53" spans="1:6">
      <c r="A53" s="36">
        <v>17</v>
      </c>
      <c r="B53" s="37" t="s">
        <v>226</v>
      </c>
      <c r="C53" s="36" t="s">
        <v>184</v>
      </c>
      <c r="D53" s="36"/>
      <c r="E53" s="36"/>
      <c r="F53" s="36"/>
    </row>
    <row r="54" spans="1:6">
      <c r="A54" s="36">
        <v>18</v>
      </c>
      <c r="B54" s="37" t="s">
        <v>227</v>
      </c>
      <c r="C54" s="36" t="s">
        <v>184</v>
      </c>
      <c r="D54" s="36"/>
      <c r="E54" s="36"/>
      <c r="F54" s="36"/>
    </row>
    <row r="55" spans="1:6">
      <c r="A55" s="36">
        <v>19</v>
      </c>
      <c r="B55" s="37" t="s">
        <v>228</v>
      </c>
      <c r="C55" s="36" t="s">
        <v>184</v>
      </c>
      <c r="D55" s="36"/>
      <c r="E55" s="36"/>
      <c r="F55" s="36"/>
    </row>
    <row r="56" spans="1:6">
      <c r="A56" s="36">
        <v>20</v>
      </c>
      <c r="B56" s="37" t="s">
        <v>229</v>
      </c>
      <c r="C56" s="36" t="s">
        <v>184</v>
      </c>
      <c r="D56" s="36"/>
      <c r="E56" s="36"/>
      <c r="F56" s="36"/>
    </row>
    <row r="59" spans="1:6">
      <c r="D59" s="30" t="s">
        <v>206</v>
      </c>
    </row>
    <row r="60" spans="1:6">
      <c r="D60" s="30" t="s">
        <v>207</v>
      </c>
    </row>
    <row r="61" spans="1:6">
      <c r="D61" s="30" t="s">
        <v>208</v>
      </c>
    </row>
    <row r="63" spans="1:6">
      <c r="A63" s="113" t="s">
        <v>230</v>
      </c>
      <c r="B63" s="113"/>
      <c r="C63" s="113"/>
      <c r="D63" s="113"/>
      <c r="E63" s="113"/>
      <c r="F63" s="113"/>
    </row>
    <row r="64" spans="1:6">
      <c r="A64" s="31"/>
      <c r="B64" s="31"/>
      <c r="C64" s="31"/>
      <c r="D64" s="32"/>
      <c r="E64" s="31"/>
      <c r="F64" s="31"/>
    </row>
    <row r="65" spans="1:6">
      <c r="A65" s="114" t="s">
        <v>176</v>
      </c>
      <c r="B65" s="114" t="s">
        <v>177</v>
      </c>
      <c r="C65" s="115" t="s">
        <v>178</v>
      </c>
      <c r="D65" s="33" t="s">
        <v>179</v>
      </c>
      <c r="E65" s="116" t="s">
        <v>180</v>
      </c>
      <c r="F65" s="114" t="s">
        <v>181</v>
      </c>
    </row>
    <row r="66" spans="1:6">
      <c r="A66" s="114"/>
      <c r="B66" s="114"/>
      <c r="C66" s="115"/>
      <c r="D66" s="35" t="s">
        <v>182</v>
      </c>
      <c r="E66" s="116"/>
      <c r="F66" s="114"/>
    </row>
    <row r="67" spans="1:6">
      <c r="A67" s="36">
        <v>1</v>
      </c>
      <c r="B67" s="37" t="s">
        <v>231</v>
      </c>
      <c r="C67" s="36" t="s">
        <v>184</v>
      </c>
      <c r="D67" s="36"/>
      <c r="E67" s="36"/>
      <c r="F67" s="36"/>
    </row>
    <row r="68" spans="1:6">
      <c r="A68" s="36">
        <v>2</v>
      </c>
      <c r="B68" s="37" t="s">
        <v>232</v>
      </c>
      <c r="C68" s="36" t="s">
        <v>184</v>
      </c>
      <c r="D68" s="36"/>
      <c r="E68" s="36"/>
      <c r="F68" s="36"/>
    </row>
    <row r="69" spans="1:6">
      <c r="A69" s="36">
        <v>3</v>
      </c>
      <c r="B69" s="37" t="s">
        <v>233</v>
      </c>
      <c r="C69" s="36" t="s">
        <v>184</v>
      </c>
      <c r="D69" s="36"/>
      <c r="E69" s="36"/>
      <c r="F69" s="36"/>
    </row>
    <row r="70" spans="1:6">
      <c r="A70" s="36">
        <v>4</v>
      </c>
      <c r="B70" s="37" t="s">
        <v>234</v>
      </c>
      <c r="C70" s="36" t="s">
        <v>184</v>
      </c>
      <c r="D70" s="36"/>
      <c r="E70" s="36"/>
      <c r="F70" s="36"/>
    </row>
    <row r="71" spans="1:6">
      <c r="A71" s="36">
        <v>5</v>
      </c>
      <c r="B71" s="37" t="s">
        <v>235</v>
      </c>
      <c r="C71" s="36" t="s">
        <v>184</v>
      </c>
      <c r="D71" s="36"/>
      <c r="E71" s="36"/>
      <c r="F71" s="36"/>
    </row>
    <row r="72" spans="1:6">
      <c r="A72" s="36">
        <v>6</v>
      </c>
      <c r="B72" s="37" t="s">
        <v>236</v>
      </c>
      <c r="C72" s="36" t="s">
        <v>184</v>
      </c>
      <c r="D72" s="36"/>
      <c r="E72" s="36"/>
      <c r="F72" s="36"/>
    </row>
    <row r="73" spans="1:6">
      <c r="A73" s="36">
        <v>7</v>
      </c>
      <c r="B73" s="37" t="s">
        <v>237</v>
      </c>
      <c r="C73" s="36" t="s">
        <v>184</v>
      </c>
      <c r="D73" s="36"/>
      <c r="E73" s="36"/>
      <c r="F73" s="36"/>
    </row>
    <row r="74" spans="1:6">
      <c r="A74" s="36">
        <v>8</v>
      </c>
      <c r="B74" s="37" t="s">
        <v>238</v>
      </c>
      <c r="C74" s="36" t="s">
        <v>184</v>
      </c>
      <c r="D74" s="36"/>
      <c r="E74" s="36"/>
      <c r="F74" s="36"/>
    </row>
    <row r="75" spans="1:6">
      <c r="A75" s="36">
        <v>9</v>
      </c>
      <c r="B75" s="37" t="s">
        <v>239</v>
      </c>
      <c r="C75" s="36" t="s">
        <v>184</v>
      </c>
      <c r="D75" s="36"/>
      <c r="E75" s="36"/>
      <c r="F75" s="36"/>
    </row>
    <row r="76" spans="1:6">
      <c r="A76" s="36">
        <v>10</v>
      </c>
      <c r="B76" s="37" t="s">
        <v>240</v>
      </c>
      <c r="C76" s="36" t="s">
        <v>184</v>
      </c>
      <c r="D76" s="36"/>
      <c r="E76" s="36"/>
      <c r="F76" s="36"/>
    </row>
    <row r="77" spans="1:6">
      <c r="A77" s="36">
        <v>11</v>
      </c>
      <c r="B77" s="37" t="s">
        <v>241</v>
      </c>
      <c r="C77" s="36" t="s">
        <v>184</v>
      </c>
      <c r="D77" s="36"/>
      <c r="E77" s="36"/>
      <c r="F77" s="36"/>
    </row>
    <row r="78" spans="1:6">
      <c r="A78" s="36">
        <v>12</v>
      </c>
      <c r="B78" s="37" t="s">
        <v>242</v>
      </c>
      <c r="C78" s="36" t="s">
        <v>184</v>
      </c>
      <c r="D78" s="36"/>
      <c r="E78" s="36"/>
      <c r="F78" s="36"/>
    </row>
    <row r="79" spans="1:6">
      <c r="A79" s="36">
        <v>13</v>
      </c>
      <c r="B79" s="37" t="s">
        <v>243</v>
      </c>
      <c r="C79" s="36" t="s">
        <v>184</v>
      </c>
      <c r="D79" s="36"/>
      <c r="E79" s="36"/>
      <c r="F79" s="36"/>
    </row>
    <row r="80" spans="1:6">
      <c r="A80" s="36">
        <v>14</v>
      </c>
      <c r="B80" s="37" t="s">
        <v>244</v>
      </c>
      <c r="C80" s="36" t="s">
        <v>184</v>
      </c>
      <c r="D80" s="36"/>
      <c r="E80" s="36"/>
      <c r="F80" s="36"/>
    </row>
    <row r="81" spans="1:6">
      <c r="A81" s="36">
        <v>15</v>
      </c>
      <c r="B81" s="37" t="s">
        <v>245</v>
      </c>
      <c r="C81" s="36" t="s">
        <v>184</v>
      </c>
      <c r="D81" s="36"/>
      <c r="E81" s="36"/>
      <c r="F81" s="36"/>
    </row>
    <row r="82" spans="1:6">
      <c r="A82" s="36">
        <v>16</v>
      </c>
      <c r="B82" s="37" t="s">
        <v>246</v>
      </c>
      <c r="C82" s="36" t="s">
        <v>184</v>
      </c>
      <c r="D82" s="36"/>
      <c r="E82" s="36"/>
      <c r="F82" s="36"/>
    </row>
    <row r="83" spans="1:6">
      <c r="A83" s="36">
        <v>17</v>
      </c>
      <c r="B83" s="37" t="s">
        <v>247</v>
      </c>
      <c r="C83" s="36" t="s">
        <v>184</v>
      </c>
      <c r="D83" s="36"/>
      <c r="E83" s="36"/>
      <c r="F83" s="36"/>
    </row>
    <row r="84" spans="1:6">
      <c r="A84" s="36">
        <v>18</v>
      </c>
      <c r="B84" s="37" t="s">
        <v>248</v>
      </c>
      <c r="C84" s="36" t="s">
        <v>184</v>
      </c>
      <c r="D84" s="36"/>
      <c r="E84" s="36"/>
      <c r="F84" s="36"/>
    </row>
    <row r="85" spans="1:6">
      <c r="A85" s="36">
        <v>19</v>
      </c>
      <c r="B85" s="37" t="s">
        <v>249</v>
      </c>
      <c r="C85" s="36" t="s">
        <v>184</v>
      </c>
      <c r="D85" s="36"/>
      <c r="E85" s="36"/>
      <c r="F85" s="36"/>
    </row>
    <row r="86" spans="1:6">
      <c r="A86" s="36">
        <v>20</v>
      </c>
      <c r="B86" s="37" t="s">
        <v>250</v>
      </c>
      <c r="C86" s="36" t="s">
        <v>184</v>
      </c>
      <c r="D86" s="36"/>
      <c r="E86" s="36"/>
      <c r="F86" s="36"/>
    </row>
    <row r="87" spans="1:6">
      <c r="A87" s="36">
        <v>21</v>
      </c>
      <c r="B87" s="37" t="s">
        <v>251</v>
      </c>
      <c r="C87" s="36" t="s">
        <v>184</v>
      </c>
      <c r="D87" s="36"/>
      <c r="E87" s="36"/>
      <c r="F87" s="36"/>
    </row>
    <row r="90" spans="1:6">
      <c r="D90" s="30" t="s">
        <v>206</v>
      </c>
    </row>
    <row r="91" spans="1:6">
      <c r="D91" s="30" t="s">
        <v>207</v>
      </c>
    </row>
    <row r="92" spans="1:6">
      <c r="D92" s="30" t="s">
        <v>208</v>
      </c>
    </row>
    <row r="94" spans="1:6">
      <c r="A94" s="113" t="s">
        <v>252</v>
      </c>
      <c r="B94" s="113"/>
      <c r="C94" s="113"/>
      <c r="D94" s="113"/>
      <c r="E94" s="113"/>
      <c r="F94" s="113"/>
    </row>
    <row r="95" spans="1:6">
      <c r="A95" s="31"/>
      <c r="B95" s="31"/>
      <c r="C95" s="31"/>
      <c r="D95" s="32"/>
      <c r="E95" s="31"/>
      <c r="F95" s="31"/>
    </row>
    <row r="96" spans="1:6">
      <c r="A96" s="114" t="s">
        <v>176</v>
      </c>
      <c r="B96" s="114" t="s">
        <v>177</v>
      </c>
      <c r="C96" s="115" t="s">
        <v>178</v>
      </c>
      <c r="D96" s="33" t="s">
        <v>179</v>
      </c>
      <c r="E96" s="116" t="s">
        <v>180</v>
      </c>
      <c r="F96" s="114" t="s">
        <v>181</v>
      </c>
    </row>
    <row r="97" spans="1:6">
      <c r="A97" s="114"/>
      <c r="B97" s="114"/>
      <c r="C97" s="115"/>
      <c r="D97" s="35" t="s">
        <v>182</v>
      </c>
      <c r="E97" s="116"/>
      <c r="F97" s="114"/>
    </row>
    <row r="98" spans="1:6">
      <c r="A98" s="36">
        <v>1</v>
      </c>
      <c r="B98" s="37" t="s">
        <v>253</v>
      </c>
      <c r="C98" s="36" t="s">
        <v>184</v>
      </c>
      <c r="D98" s="36"/>
      <c r="E98" s="36"/>
      <c r="F98" s="36"/>
    </row>
    <row r="99" spans="1:6">
      <c r="A99" s="36">
        <v>2</v>
      </c>
      <c r="B99" s="37" t="s">
        <v>254</v>
      </c>
      <c r="C99" s="36" t="s">
        <v>184</v>
      </c>
      <c r="D99" s="36"/>
      <c r="E99" s="36"/>
      <c r="F99" s="36"/>
    </row>
    <row r="100" spans="1:6">
      <c r="A100" s="36">
        <v>3</v>
      </c>
      <c r="B100" s="37" t="s">
        <v>255</v>
      </c>
      <c r="C100" s="36" t="s">
        <v>184</v>
      </c>
      <c r="D100" s="36"/>
      <c r="E100" s="36"/>
      <c r="F100" s="36"/>
    </row>
    <row r="101" spans="1:6">
      <c r="A101" s="36">
        <v>4</v>
      </c>
      <c r="B101" s="37" t="s">
        <v>256</v>
      </c>
      <c r="C101" s="36" t="s">
        <v>184</v>
      </c>
      <c r="D101" s="36"/>
      <c r="E101" s="36"/>
      <c r="F101" s="36"/>
    </row>
    <row r="102" spans="1:6">
      <c r="A102" s="36">
        <v>5</v>
      </c>
      <c r="B102" s="37" t="s">
        <v>257</v>
      </c>
      <c r="C102" s="36" t="s">
        <v>184</v>
      </c>
      <c r="D102" s="36"/>
      <c r="E102" s="36"/>
      <c r="F102" s="36"/>
    </row>
    <row r="103" spans="1:6">
      <c r="A103" s="36">
        <v>6</v>
      </c>
      <c r="B103" s="37" t="s">
        <v>258</v>
      </c>
      <c r="C103" s="36" t="s">
        <v>184</v>
      </c>
      <c r="D103" s="36"/>
      <c r="E103" s="36"/>
      <c r="F103" s="36"/>
    </row>
    <row r="104" spans="1:6">
      <c r="A104" s="36">
        <v>7</v>
      </c>
      <c r="B104" s="37" t="s">
        <v>259</v>
      </c>
      <c r="C104" s="36" t="s">
        <v>184</v>
      </c>
      <c r="D104" s="36"/>
      <c r="E104" s="36"/>
      <c r="F104" s="36"/>
    </row>
    <row r="105" spans="1:6">
      <c r="A105" s="36">
        <v>8</v>
      </c>
      <c r="B105" s="37" t="s">
        <v>260</v>
      </c>
      <c r="C105" s="36" t="s">
        <v>184</v>
      </c>
      <c r="D105" s="36"/>
      <c r="E105" s="36"/>
      <c r="F105" s="36"/>
    </row>
    <row r="106" spans="1:6">
      <c r="A106" s="36">
        <v>9</v>
      </c>
      <c r="B106" s="37" t="s">
        <v>261</v>
      </c>
      <c r="C106" s="36" t="s">
        <v>184</v>
      </c>
      <c r="D106" s="36"/>
      <c r="E106" s="36"/>
      <c r="F106" s="36"/>
    </row>
    <row r="107" spans="1:6">
      <c r="A107" s="36">
        <v>10</v>
      </c>
      <c r="B107" s="37" t="s">
        <v>262</v>
      </c>
      <c r="C107" s="36" t="s">
        <v>184</v>
      </c>
      <c r="D107" s="36"/>
      <c r="E107" s="36"/>
      <c r="F107" s="36"/>
    </row>
    <row r="108" spans="1:6">
      <c r="A108" s="36">
        <v>11</v>
      </c>
      <c r="B108" s="37" t="s">
        <v>263</v>
      </c>
      <c r="C108" s="36" t="s">
        <v>184</v>
      </c>
      <c r="D108" s="36"/>
      <c r="E108" s="36"/>
      <c r="F108" s="36"/>
    </row>
    <row r="109" spans="1:6">
      <c r="A109" s="36">
        <v>12</v>
      </c>
      <c r="B109" s="37" t="s">
        <v>264</v>
      </c>
      <c r="C109" s="36" t="s">
        <v>184</v>
      </c>
      <c r="D109" s="36"/>
      <c r="E109" s="36"/>
      <c r="F109" s="36"/>
    </row>
    <row r="110" spans="1:6">
      <c r="A110" s="36">
        <v>13</v>
      </c>
      <c r="B110" s="37" t="s">
        <v>265</v>
      </c>
      <c r="C110" s="36" t="s">
        <v>184</v>
      </c>
      <c r="D110" s="36"/>
      <c r="E110" s="36"/>
      <c r="F110" s="36"/>
    </row>
    <row r="111" spans="1:6">
      <c r="A111" s="36">
        <v>14</v>
      </c>
      <c r="B111" s="37" t="s">
        <v>266</v>
      </c>
      <c r="C111" s="36" t="s">
        <v>184</v>
      </c>
      <c r="D111" s="36"/>
      <c r="E111" s="36"/>
      <c r="F111" s="36"/>
    </row>
    <row r="112" spans="1:6">
      <c r="A112" s="36">
        <v>15</v>
      </c>
      <c r="B112" s="37" t="s">
        <v>267</v>
      </c>
      <c r="C112" s="36" t="s">
        <v>184</v>
      </c>
      <c r="D112" s="36"/>
      <c r="E112" s="36"/>
      <c r="F112" s="36"/>
    </row>
    <row r="113" spans="1:6">
      <c r="A113" s="36">
        <v>16</v>
      </c>
      <c r="B113" s="37" t="s">
        <v>268</v>
      </c>
      <c r="C113" s="36" t="s">
        <v>184</v>
      </c>
      <c r="D113" s="36"/>
      <c r="E113" s="36"/>
      <c r="F113" s="36"/>
    </row>
    <row r="114" spans="1:6">
      <c r="A114" s="36">
        <v>17</v>
      </c>
      <c r="B114" s="37" t="s">
        <v>269</v>
      </c>
      <c r="C114" s="36" t="s">
        <v>184</v>
      </c>
      <c r="D114" s="36"/>
      <c r="E114" s="36"/>
      <c r="F114" s="36"/>
    </row>
    <row r="115" spans="1:6">
      <c r="A115" s="36">
        <v>18</v>
      </c>
      <c r="B115" s="37" t="s">
        <v>270</v>
      </c>
      <c r="C115" s="36" t="s">
        <v>184</v>
      </c>
      <c r="D115" s="36"/>
      <c r="E115" s="36"/>
      <c r="F115" s="36"/>
    </row>
    <row r="118" spans="1:6">
      <c r="D118" s="30" t="s">
        <v>206</v>
      </c>
    </row>
    <row r="119" spans="1:6">
      <c r="D119" s="30" t="s">
        <v>207</v>
      </c>
    </row>
    <row r="120" spans="1:6">
      <c r="D120" s="30" t="s">
        <v>208</v>
      </c>
    </row>
    <row r="123" spans="1:6">
      <c r="A123" s="113" t="s">
        <v>271</v>
      </c>
      <c r="B123" s="113"/>
      <c r="C123" s="113"/>
      <c r="D123" s="113"/>
      <c r="E123" s="113"/>
      <c r="F123" s="113"/>
    </row>
    <row r="124" spans="1:6">
      <c r="A124" s="31"/>
      <c r="B124" s="31"/>
      <c r="C124" s="31"/>
      <c r="D124" s="32"/>
      <c r="E124" s="31"/>
      <c r="F124" s="31"/>
    </row>
    <row r="125" spans="1:6">
      <c r="A125" s="114" t="s">
        <v>176</v>
      </c>
      <c r="B125" s="114" t="s">
        <v>177</v>
      </c>
      <c r="C125" s="115" t="s">
        <v>178</v>
      </c>
      <c r="D125" s="33" t="s">
        <v>179</v>
      </c>
      <c r="E125" s="116" t="s">
        <v>180</v>
      </c>
      <c r="F125" s="114" t="s">
        <v>181</v>
      </c>
    </row>
    <row r="126" spans="1:6">
      <c r="A126" s="114"/>
      <c r="B126" s="114"/>
      <c r="C126" s="115"/>
      <c r="D126" s="35" t="s">
        <v>182</v>
      </c>
      <c r="E126" s="116"/>
      <c r="F126" s="114"/>
    </row>
    <row r="127" spans="1:6">
      <c r="A127" s="36">
        <v>1</v>
      </c>
      <c r="B127" s="37" t="s">
        <v>272</v>
      </c>
      <c r="C127" s="36" t="s">
        <v>184</v>
      </c>
      <c r="D127" s="36"/>
      <c r="E127" s="36"/>
      <c r="F127" s="36"/>
    </row>
    <row r="128" spans="1:6">
      <c r="A128" s="36">
        <v>2</v>
      </c>
      <c r="B128" s="37" t="s">
        <v>273</v>
      </c>
      <c r="C128" s="36" t="s">
        <v>184</v>
      </c>
      <c r="D128" s="36"/>
      <c r="E128" s="36"/>
      <c r="F128" s="36"/>
    </row>
    <row r="129" spans="1:6">
      <c r="A129" s="36">
        <v>3</v>
      </c>
      <c r="B129" s="37" t="s">
        <v>274</v>
      </c>
      <c r="C129" s="36" t="s">
        <v>184</v>
      </c>
      <c r="D129" s="36"/>
      <c r="E129" s="36"/>
      <c r="F129" s="36"/>
    </row>
    <row r="130" spans="1:6">
      <c r="A130" s="36">
        <v>4</v>
      </c>
      <c r="B130" s="37" t="s">
        <v>275</v>
      </c>
      <c r="C130" s="36" t="s">
        <v>184</v>
      </c>
      <c r="D130" s="36"/>
      <c r="E130" s="36"/>
      <c r="F130" s="36"/>
    </row>
    <row r="131" spans="1:6">
      <c r="A131" s="36">
        <v>5</v>
      </c>
      <c r="B131" s="37" t="s">
        <v>276</v>
      </c>
      <c r="C131" s="36" t="s">
        <v>184</v>
      </c>
      <c r="D131" s="36"/>
      <c r="E131" s="36"/>
      <c r="F131" s="36"/>
    </row>
    <row r="132" spans="1:6">
      <c r="A132" s="36">
        <v>6</v>
      </c>
      <c r="B132" s="37" t="s">
        <v>277</v>
      </c>
      <c r="C132" s="36" t="s">
        <v>184</v>
      </c>
      <c r="D132" s="36"/>
      <c r="E132" s="36"/>
      <c r="F132" s="36"/>
    </row>
    <row r="133" spans="1:6">
      <c r="A133" s="36">
        <v>7</v>
      </c>
      <c r="B133" s="37" t="s">
        <v>278</v>
      </c>
      <c r="C133" s="36" t="s">
        <v>184</v>
      </c>
      <c r="D133" s="36"/>
      <c r="E133" s="36"/>
      <c r="F133" s="36"/>
    </row>
    <row r="134" spans="1:6">
      <c r="A134" s="36">
        <v>8</v>
      </c>
      <c r="B134" s="37" t="s">
        <v>279</v>
      </c>
      <c r="C134" s="36" t="s">
        <v>184</v>
      </c>
      <c r="D134" s="36"/>
      <c r="E134" s="36"/>
      <c r="F134" s="36"/>
    </row>
    <row r="135" spans="1:6">
      <c r="A135" s="36">
        <v>9</v>
      </c>
      <c r="B135" s="37" t="s">
        <v>280</v>
      </c>
      <c r="C135" s="36" t="s">
        <v>184</v>
      </c>
      <c r="D135" s="36"/>
      <c r="E135" s="36"/>
      <c r="F135" s="36"/>
    </row>
    <row r="136" spans="1:6">
      <c r="A136" s="36">
        <v>10</v>
      </c>
      <c r="B136" s="37" t="s">
        <v>281</v>
      </c>
      <c r="C136" s="36" t="s">
        <v>184</v>
      </c>
      <c r="D136" s="36"/>
      <c r="E136" s="36"/>
      <c r="F136" s="36"/>
    </row>
    <row r="137" spans="1:6">
      <c r="A137" s="36">
        <v>11</v>
      </c>
      <c r="B137" s="37" t="s">
        <v>282</v>
      </c>
      <c r="C137" s="36" t="s">
        <v>184</v>
      </c>
      <c r="D137" s="36"/>
      <c r="E137" s="36"/>
      <c r="F137" s="36"/>
    </row>
    <row r="138" spans="1:6">
      <c r="A138" s="36">
        <v>12</v>
      </c>
      <c r="B138" s="37" t="s">
        <v>283</v>
      </c>
      <c r="C138" s="36" t="s">
        <v>184</v>
      </c>
      <c r="D138" s="36"/>
      <c r="E138" s="36"/>
      <c r="F138" s="36"/>
    </row>
    <row r="139" spans="1:6">
      <c r="A139" s="36">
        <v>13</v>
      </c>
      <c r="B139" s="37" t="s">
        <v>284</v>
      </c>
      <c r="C139" s="36" t="s">
        <v>184</v>
      </c>
      <c r="D139" s="36"/>
      <c r="E139" s="36"/>
      <c r="F139" s="36"/>
    </row>
    <row r="140" spans="1:6">
      <c r="A140" s="36">
        <v>14</v>
      </c>
      <c r="B140" s="37" t="s">
        <v>285</v>
      </c>
      <c r="C140" s="36" t="s">
        <v>184</v>
      </c>
      <c r="D140" s="36"/>
      <c r="E140" s="36"/>
      <c r="F140" s="36"/>
    </row>
    <row r="141" spans="1:6">
      <c r="A141" s="36">
        <v>15</v>
      </c>
      <c r="B141" s="37" t="s">
        <v>286</v>
      </c>
      <c r="C141" s="36" t="s">
        <v>184</v>
      </c>
      <c r="D141" s="36"/>
      <c r="E141" s="36"/>
      <c r="F141" s="36"/>
    </row>
    <row r="142" spans="1:6">
      <c r="A142" s="36">
        <v>16</v>
      </c>
      <c r="B142" s="37" t="s">
        <v>287</v>
      </c>
      <c r="C142" s="36" t="s">
        <v>184</v>
      </c>
      <c r="D142" s="36"/>
      <c r="E142" s="36"/>
      <c r="F142" s="36"/>
    </row>
    <row r="143" spans="1:6">
      <c r="A143" s="36">
        <v>17</v>
      </c>
      <c r="B143" s="37" t="s">
        <v>288</v>
      </c>
      <c r="C143" s="36" t="s">
        <v>184</v>
      </c>
      <c r="D143" s="36"/>
      <c r="E143" s="36"/>
      <c r="F143" s="36"/>
    </row>
    <row r="144" spans="1:6">
      <c r="A144" s="36">
        <v>18</v>
      </c>
      <c r="B144" s="37" t="s">
        <v>289</v>
      </c>
      <c r="C144" s="36" t="s">
        <v>184</v>
      </c>
      <c r="D144" s="36"/>
      <c r="E144" s="36"/>
      <c r="F144" s="36"/>
    </row>
    <row r="145" spans="1:6">
      <c r="A145" s="36">
        <v>19</v>
      </c>
      <c r="B145" s="37" t="s">
        <v>290</v>
      </c>
      <c r="C145" s="36" t="s">
        <v>184</v>
      </c>
      <c r="D145" s="36"/>
      <c r="E145" s="36"/>
      <c r="F145" s="36"/>
    </row>
    <row r="146" spans="1:6">
      <c r="A146" s="36">
        <v>20</v>
      </c>
      <c r="B146" s="37" t="s">
        <v>291</v>
      </c>
      <c r="C146" s="36" t="s">
        <v>184</v>
      </c>
      <c r="D146" s="36"/>
      <c r="E146" s="36"/>
      <c r="F146" s="36"/>
    </row>
    <row r="147" spans="1:6">
      <c r="A147" s="36">
        <v>21</v>
      </c>
      <c r="B147" s="37" t="s">
        <v>292</v>
      </c>
      <c r="C147" s="36" t="s">
        <v>184</v>
      </c>
      <c r="D147" s="36"/>
      <c r="E147" s="36"/>
      <c r="F147" s="36"/>
    </row>
    <row r="150" spans="1:6">
      <c r="D150" s="30" t="s">
        <v>206</v>
      </c>
    </row>
    <row r="151" spans="1:6">
      <c r="D151" s="30" t="s">
        <v>207</v>
      </c>
    </row>
    <row r="152" spans="1:6">
      <c r="D152" s="30" t="s">
        <v>208</v>
      </c>
    </row>
    <row r="155" spans="1:6">
      <c r="A155" s="113" t="s">
        <v>293</v>
      </c>
      <c r="B155" s="113"/>
      <c r="C155" s="113"/>
      <c r="D155" s="113"/>
      <c r="E155" s="113"/>
      <c r="F155" s="113"/>
    </row>
    <row r="156" spans="1:6">
      <c r="A156" s="31"/>
      <c r="B156" s="31"/>
      <c r="C156" s="31"/>
      <c r="D156" s="32"/>
      <c r="E156" s="31"/>
      <c r="F156" s="31"/>
    </row>
    <row r="157" spans="1:6">
      <c r="A157" s="114" t="s">
        <v>176</v>
      </c>
      <c r="B157" s="114" t="s">
        <v>177</v>
      </c>
      <c r="C157" s="115" t="s">
        <v>178</v>
      </c>
      <c r="D157" s="33" t="s">
        <v>179</v>
      </c>
      <c r="E157" s="116" t="s">
        <v>180</v>
      </c>
      <c r="F157" s="114" t="s">
        <v>181</v>
      </c>
    </row>
    <row r="158" spans="1:6">
      <c r="A158" s="114"/>
      <c r="B158" s="114"/>
      <c r="C158" s="115"/>
      <c r="D158" s="35" t="s">
        <v>182</v>
      </c>
      <c r="E158" s="116"/>
      <c r="F158" s="114"/>
    </row>
    <row r="159" spans="1:6">
      <c r="A159" s="36">
        <v>1</v>
      </c>
      <c r="B159" s="37" t="s">
        <v>294</v>
      </c>
      <c r="C159" s="36" t="s">
        <v>184</v>
      </c>
      <c r="D159" s="36"/>
      <c r="E159" s="36"/>
      <c r="F159" s="36"/>
    </row>
    <row r="160" spans="1:6">
      <c r="A160" s="36">
        <v>2</v>
      </c>
      <c r="B160" s="37" t="s">
        <v>295</v>
      </c>
      <c r="C160" s="36" t="s">
        <v>184</v>
      </c>
      <c r="D160" s="36"/>
      <c r="E160" s="36"/>
      <c r="F160" s="36"/>
    </row>
    <row r="161" spans="1:6">
      <c r="A161" s="36">
        <v>3</v>
      </c>
      <c r="B161" s="37" t="s">
        <v>296</v>
      </c>
      <c r="C161" s="36" t="s">
        <v>184</v>
      </c>
      <c r="D161" s="36"/>
      <c r="E161" s="36"/>
      <c r="F161" s="36"/>
    </row>
    <row r="162" spans="1:6">
      <c r="A162" s="36">
        <v>4</v>
      </c>
      <c r="B162" s="37" t="s">
        <v>297</v>
      </c>
      <c r="C162" s="36" t="s">
        <v>184</v>
      </c>
      <c r="D162" s="36"/>
      <c r="E162" s="36"/>
      <c r="F162" s="36"/>
    </row>
    <row r="163" spans="1:6">
      <c r="A163" s="36">
        <v>5</v>
      </c>
      <c r="B163" s="37" t="s">
        <v>298</v>
      </c>
      <c r="C163" s="36" t="s">
        <v>184</v>
      </c>
      <c r="D163" s="36"/>
      <c r="E163" s="36"/>
      <c r="F163" s="36"/>
    </row>
    <row r="164" spans="1:6">
      <c r="A164" s="36">
        <v>6</v>
      </c>
      <c r="B164" s="37" t="s">
        <v>299</v>
      </c>
      <c r="C164" s="36" t="s">
        <v>184</v>
      </c>
      <c r="D164" s="36"/>
      <c r="E164" s="36"/>
      <c r="F164" s="36"/>
    </row>
    <row r="165" spans="1:6">
      <c r="A165" s="36">
        <v>7</v>
      </c>
      <c r="B165" s="37" t="s">
        <v>300</v>
      </c>
      <c r="C165" s="36" t="s">
        <v>184</v>
      </c>
      <c r="D165" s="36"/>
      <c r="E165" s="36"/>
      <c r="F165" s="36"/>
    </row>
    <row r="166" spans="1:6">
      <c r="A166" s="36">
        <v>8</v>
      </c>
      <c r="B166" s="37" t="s">
        <v>301</v>
      </c>
      <c r="C166" s="36" t="s">
        <v>184</v>
      </c>
      <c r="D166" s="36"/>
      <c r="E166" s="36"/>
      <c r="F166" s="36"/>
    </row>
    <row r="167" spans="1:6">
      <c r="A167" s="36">
        <v>9</v>
      </c>
      <c r="B167" s="37" t="s">
        <v>302</v>
      </c>
      <c r="C167" s="36" t="s">
        <v>184</v>
      </c>
      <c r="D167" s="36"/>
      <c r="E167" s="36"/>
      <c r="F167" s="36"/>
    </row>
    <row r="168" spans="1:6">
      <c r="A168" s="36">
        <v>10</v>
      </c>
      <c r="B168" s="37" t="s">
        <v>303</v>
      </c>
      <c r="C168" s="36" t="s">
        <v>184</v>
      </c>
      <c r="D168" s="36"/>
      <c r="E168" s="36"/>
      <c r="F168" s="36"/>
    </row>
    <row r="169" spans="1:6">
      <c r="A169" s="36">
        <v>11</v>
      </c>
      <c r="B169" s="37" t="s">
        <v>304</v>
      </c>
      <c r="C169" s="36" t="s">
        <v>184</v>
      </c>
      <c r="D169" s="36"/>
      <c r="E169" s="36"/>
      <c r="F169" s="36"/>
    </row>
    <row r="170" spans="1:6">
      <c r="A170" s="36">
        <v>12</v>
      </c>
      <c r="B170" s="37" t="s">
        <v>305</v>
      </c>
      <c r="C170" s="36" t="s">
        <v>184</v>
      </c>
      <c r="D170" s="36"/>
      <c r="E170" s="36"/>
      <c r="F170" s="36"/>
    </row>
    <row r="171" spans="1:6">
      <c r="A171" s="36">
        <v>13</v>
      </c>
      <c r="B171" s="37" t="s">
        <v>306</v>
      </c>
      <c r="C171" s="36" t="s">
        <v>184</v>
      </c>
      <c r="D171" s="36"/>
      <c r="E171" s="36"/>
      <c r="F171" s="36"/>
    </row>
    <row r="172" spans="1:6">
      <c r="A172" s="36">
        <v>14</v>
      </c>
      <c r="B172" s="37" t="s">
        <v>307</v>
      </c>
      <c r="C172" s="36" t="s">
        <v>184</v>
      </c>
      <c r="D172" s="36"/>
      <c r="E172" s="36"/>
      <c r="F172" s="36"/>
    </row>
    <row r="173" spans="1:6">
      <c r="A173" s="36">
        <v>15</v>
      </c>
      <c r="B173" s="37" t="s">
        <v>308</v>
      </c>
      <c r="C173" s="36" t="s">
        <v>184</v>
      </c>
      <c r="D173" s="36"/>
      <c r="E173" s="36"/>
      <c r="F173" s="36"/>
    </row>
    <row r="174" spans="1:6">
      <c r="A174" s="36">
        <v>16</v>
      </c>
      <c r="B174" s="37" t="s">
        <v>309</v>
      </c>
      <c r="C174" s="36" t="s">
        <v>184</v>
      </c>
      <c r="D174" s="36"/>
      <c r="E174" s="36"/>
      <c r="F174" s="36"/>
    </row>
    <row r="175" spans="1:6">
      <c r="A175" s="36">
        <v>17</v>
      </c>
      <c r="B175" s="37" t="s">
        <v>310</v>
      </c>
      <c r="C175" s="36" t="s">
        <v>184</v>
      </c>
      <c r="D175" s="36"/>
      <c r="E175" s="36"/>
      <c r="F175" s="36"/>
    </row>
    <row r="176" spans="1:6">
      <c r="A176" s="36">
        <v>18</v>
      </c>
      <c r="B176" s="37" t="s">
        <v>311</v>
      </c>
      <c r="C176" s="36" t="s">
        <v>184</v>
      </c>
      <c r="D176" s="36"/>
      <c r="E176" s="36"/>
      <c r="F176" s="36"/>
    </row>
    <row r="177" spans="1:6">
      <c r="A177" s="36">
        <v>19</v>
      </c>
      <c r="B177" s="37" t="s">
        <v>312</v>
      </c>
      <c r="C177" s="36" t="s">
        <v>184</v>
      </c>
      <c r="D177" s="36"/>
      <c r="E177" s="36"/>
      <c r="F177" s="36"/>
    </row>
    <row r="180" spans="1:6">
      <c r="D180" s="30" t="s">
        <v>206</v>
      </c>
    </row>
    <row r="181" spans="1:6">
      <c r="D181" s="30" t="s">
        <v>207</v>
      </c>
    </row>
    <row r="182" spans="1:6">
      <c r="D182" s="30" t="s">
        <v>208</v>
      </c>
    </row>
    <row r="184" spans="1:6">
      <c r="A184" s="113" t="s">
        <v>313</v>
      </c>
      <c r="B184" s="113"/>
      <c r="C184" s="113"/>
      <c r="D184" s="113"/>
      <c r="E184" s="113"/>
      <c r="F184" s="113"/>
    </row>
    <row r="185" spans="1:6">
      <c r="A185" s="31"/>
      <c r="B185" s="31"/>
      <c r="C185" s="31"/>
      <c r="D185" s="32"/>
      <c r="E185" s="31"/>
      <c r="F185" s="31"/>
    </row>
    <row r="186" spans="1:6">
      <c r="A186" s="114" t="s">
        <v>176</v>
      </c>
      <c r="B186" s="114" t="s">
        <v>177</v>
      </c>
      <c r="C186" s="115" t="s">
        <v>178</v>
      </c>
      <c r="D186" s="33" t="s">
        <v>179</v>
      </c>
      <c r="E186" s="116" t="s">
        <v>180</v>
      </c>
      <c r="F186" s="114" t="s">
        <v>181</v>
      </c>
    </row>
    <row r="187" spans="1:6">
      <c r="A187" s="114"/>
      <c r="B187" s="114"/>
      <c r="C187" s="115"/>
      <c r="D187" s="35" t="s">
        <v>182</v>
      </c>
      <c r="E187" s="116"/>
      <c r="F187" s="114"/>
    </row>
    <row r="188" spans="1:6">
      <c r="A188" s="36">
        <v>1</v>
      </c>
      <c r="B188" s="37" t="s">
        <v>314</v>
      </c>
      <c r="C188" s="36" t="s">
        <v>184</v>
      </c>
      <c r="D188" s="36"/>
      <c r="E188" s="36"/>
      <c r="F188" s="36"/>
    </row>
    <row r="189" spans="1:6">
      <c r="A189" s="36">
        <v>2</v>
      </c>
      <c r="B189" s="37" t="s">
        <v>315</v>
      </c>
      <c r="C189" s="36" t="s">
        <v>184</v>
      </c>
      <c r="D189" s="36"/>
      <c r="E189" s="36"/>
      <c r="F189" s="36"/>
    </row>
    <row r="190" spans="1:6">
      <c r="A190" s="36">
        <v>3</v>
      </c>
      <c r="B190" s="37" t="s">
        <v>316</v>
      </c>
      <c r="C190" s="36" t="s">
        <v>184</v>
      </c>
      <c r="D190" s="36"/>
      <c r="E190" s="36"/>
      <c r="F190" s="36"/>
    </row>
    <row r="191" spans="1:6">
      <c r="A191" s="36">
        <v>4</v>
      </c>
      <c r="B191" s="37" t="s">
        <v>317</v>
      </c>
      <c r="C191" s="36" t="s">
        <v>184</v>
      </c>
      <c r="D191" s="36"/>
      <c r="E191" s="36"/>
      <c r="F191" s="36"/>
    </row>
    <row r="192" spans="1:6">
      <c r="A192" s="36">
        <v>5</v>
      </c>
      <c r="B192" s="37" t="s">
        <v>318</v>
      </c>
      <c r="C192" s="36" t="s">
        <v>184</v>
      </c>
      <c r="D192" s="36"/>
      <c r="E192" s="36"/>
      <c r="F192" s="36"/>
    </row>
    <row r="193" spans="1:6">
      <c r="A193" s="36">
        <v>6</v>
      </c>
      <c r="B193" s="37" t="s">
        <v>319</v>
      </c>
      <c r="C193" s="36" t="s">
        <v>184</v>
      </c>
      <c r="D193" s="36"/>
      <c r="E193" s="36"/>
      <c r="F193" s="36"/>
    </row>
    <row r="194" spans="1:6">
      <c r="A194" s="36">
        <v>7</v>
      </c>
      <c r="B194" s="37" t="s">
        <v>320</v>
      </c>
      <c r="C194" s="36" t="s">
        <v>184</v>
      </c>
      <c r="D194" s="36"/>
      <c r="E194" s="36"/>
      <c r="F194" s="36"/>
    </row>
    <row r="195" spans="1:6">
      <c r="A195" s="36">
        <v>8</v>
      </c>
      <c r="B195" s="37" t="s">
        <v>321</v>
      </c>
      <c r="C195" s="36" t="s">
        <v>184</v>
      </c>
      <c r="D195" s="36"/>
      <c r="E195" s="36"/>
      <c r="F195" s="36"/>
    </row>
    <row r="196" spans="1:6">
      <c r="A196" s="36">
        <v>9</v>
      </c>
      <c r="B196" s="37" t="s">
        <v>322</v>
      </c>
      <c r="C196" s="36" t="s">
        <v>184</v>
      </c>
      <c r="D196" s="36"/>
      <c r="E196" s="36"/>
      <c r="F196" s="36"/>
    </row>
    <row r="197" spans="1:6">
      <c r="A197" s="36">
        <v>10</v>
      </c>
      <c r="B197" s="37" t="s">
        <v>323</v>
      </c>
      <c r="C197" s="36" t="s">
        <v>184</v>
      </c>
      <c r="D197" s="36"/>
      <c r="E197" s="36"/>
      <c r="F197" s="36"/>
    </row>
    <row r="198" spans="1:6">
      <c r="A198" s="36">
        <v>11</v>
      </c>
      <c r="B198" s="37" t="s">
        <v>324</v>
      </c>
      <c r="C198" s="36" t="s">
        <v>184</v>
      </c>
      <c r="D198" s="36"/>
      <c r="E198" s="36"/>
      <c r="F198" s="36"/>
    </row>
    <row r="199" spans="1:6">
      <c r="A199" s="36">
        <v>12</v>
      </c>
      <c r="B199" s="37" t="s">
        <v>325</v>
      </c>
      <c r="C199" s="36" t="s">
        <v>184</v>
      </c>
      <c r="D199" s="36"/>
      <c r="E199" s="36"/>
      <c r="F199" s="36"/>
    </row>
    <row r="200" spans="1:6">
      <c r="A200" s="36">
        <v>13</v>
      </c>
      <c r="B200" s="37" t="s">
        <v>326</v>
      </c>
      <c r="C200" s="36" t="s">
        <v>184</v>
      </c>
      <c r="D200" s="36"/>
      <c r="E200" s="36"/>
      <c r="F200" s="36"/>
    </row>
    <row r="201" spans="1:6">
      <c r="A201" s="36">
        <v>14</v>
      </c>
      <c r="B201" s="37" t="s">
        <v>327</v>
      </c>
      <c r="C201" s="36" t="s">
        <v>184</v>
      </c>
      <c r="D201" s="36"/>
      <c r="E201" s="36"/>
      <c r="F201" s="36"/>
    </row>
    <row r="202" spans="1:6">
      <c r="A202" s="36">
        <v>15</v>
      </c>
      <c r="B202" s="37" t="s">
        <v>328</v>
      </c>
      <c r="C202" s="36" t="s">
        <v>184</v>
      </c>
      <c r="D202" s="36"/>
      <c r="E202" s="36"/>
      <c r="F202" s="36"/>
    </row>
    <row r="203" spans="1:6">
      <c r="A203" s="36">
        <v>16</v>
      </c>
      <c r="B203" s="37" t="s">
        <v>329</v>
      </c>
      <c r="C203" s="36" t="s">
        <v>184</v>
      </c>
      <c r="D203" s="36"/>
      <c r="E203" s="36"/>
      <c r="F203" s="36"/>
    </row>
    <row r="204" spans="1:6">
      <c r="A204" s="36">
        <v>17</v>
      </c>
      <c r="B204" s="37" t="s">
        <v>330</v>
      </c>
      <c r="C204" s="36" t="s">
        <v>184</v>
      </c>
      <c r="D204" s="36"/>
      <c r="E204" s="36"/>
      <c r="F204" s="36"/>
    </row>
    <row r="205" spans="1:6">
      <c r="A205" s="36">
        <v>18</v>
      </c>
      <c r="B205" s="37" t="s">
        <v>331</v>
      </c>
      <c r="C205" s="36" t="s">
        <v>184</v>
      </c>
      <c r="D205" s="36"/>
      <c r="E205" s="36"/>
      <c r="F205" s="36"/>
    </row>
    <row r="206" spans="1:6">
      <c r="A206" s="41">
        <v>19</v>
      </c>
      <c r="B206" s="42" t="s">
        <v>332</v>
      </c>
      <c r="C206" s="36" t="s">
        <v>184</v>
      </c>
      <c r="D206" s="41"/>
      <c r="E206" s="41"/>
      <c r="F206" s="41"/>
    </row>
    <row r="207" spans="1:6">
      <c r="A207" s="39">
        <v>20</v>
      </c>
      <c r="B207" s="40" t="s">
        <v>333</v>
      </c>
      <c r="C207" s="36" t="s">
        <v>184</v>
      </c>
      <c r="D207" s="39"/>
      <c r="E207" s="39"/>
      <c r="F207" s="39"/>
    </row>
    <row r="208" spans="1:6">
      <c r="A208" s="39">
        <v>21</v>
      </c>
      <c r="B208" s="40" t="s">
        <v>334</v>
      </c>
      <c r="C208" s="36" t="s">
        <v>184</v>
      </c>
      <c r="D208" s="39"/>
      <c r="E208" s="39"/>
      <c r="F208" s="39"/>
    </row>
    <row r="209" spans="2:4">
      <c r="B209" s="38"/>
    </row>
    <row r="211" spans="2:4">
      <c r="D211" s="30" t="s">
        <v>206</v>
      </c>
    </row>
    <row r="212" spans="2:4">
      <c r="D212" s="30" t="s">
        <v>207</v>
      </c>
    </row>
    <row r="213" spans="2:4">
      <c r="D213" s="30" t="s">
        <v>208</v>
      </c>
    </row>
  </sheetData>
  <mergeCells count="42">
    <mergeCell ref="A1:F1"/>
    <mergeCell ref="A3:A4"/>
    <mergeCell ref="B3:B4"/>
    <mergeCell ref="C3:C4"/>
    <mergeCell ref="E3:E4"/>
    <mergeCell ref="F3:F4"/>
    <mergeCell ref="A123:F123"/>
    <mergeCell ref="A125:A126"/>
    <mergeCell ref="B125:B126"/>
    <mergeCell ref="C125:C126"/>
    <mergeCell ref="E125:E126"/>
    <mergeCell ref="F125:F126"/>
    <mergeCell ref="A33:F33"/>
    <mergeCell ref="A35:A36"/>
    <mergeCell ref="B35:B36"/>
    <mergeCell ref="C35:C36"/>
    <mergeCell ref="E35:E36"/>
    <mergeCell ref="F35:F36"/>
    <mergeCell ref="A63:F63"/>
    <mergeCell ref="A65:A66"/>
    <mergeCell ref="B65:B66"/>
    <mergeCell ref="C65:C66"/>
    <mergeCell ref="E65:E66"/>
    <mergeCell ref="F65:F66"/>
    <mergeCell ref="A94:F94"/>
    <mergeCell ref="A96:A97"/>
    <mergeCell ref="B96:B97"/>
    <mergeCell ref="C96:C97"/>
    <mergeCell ref="E96:E97"/>
    <mergeCell ref="F96:F97"/>
    <mergeCell ref="A155:F155"/>
    <mergeCell ref="A157:A158"/>
    <mergeCell ref="B157:B158"/>
    <mergeCell ref="C157:C158"/>
    <mergeCell ref="E157:E158"/>
    <mergeCell ref="F157:F158"/>
    <mergeCell ref="A184:F184"/>
    <mergeCell ref="A186:A187"/>
    <mergeCell ref="B186:B187"/>
    <mergeCell ref="C186:C187"/>
    <mergeCell ref="E186:E187"/>
    <mergeCell ref="F186:F18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8D292-7392-4829-8584-1F38B255A7A3}"/>
</file>

<file path=customXml/itemProps2.xml><?xml version="1.0" encoding="utf-8"?>
<ds:datastoreItem xmlns:ds="http://schemas.openxmlformats.org/officeDocument/2006/customXml" ds:itemID="{E74F9987-EBB2-4800-8AE2-74517B12219D}"/>
</file>

<file path=customXml/itemProps3.xml><?xml version="1.0" encoding="utf-8"?>
<ds:datastoreItem xmlns:ds="http://schemas.openxmlformats.org/officeDocument/2006/customXml" ds:itemID="{0907EDD7-B84F-40CB-8A27-1BB1A8F09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TRAMAS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SAMART</dc:creator>
  <cp:keywords/>
  <dc:description/>
  <cp:lastModifiedBy>สำนักวิจัยและส่งเสริมวิชาการการเกษตร</cp:lastModifiedBy>
  <cp:revision/>
  <dcterms:created xsi:type="dcterms:W3CDTF">2012-01-31T04:45:00Z</dcterms:created>
  <dcterms:modified xsi:type="dcterms:W3CDTF">2026-08-04T09:05:06Z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