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28" documentId="8_{0F528423-704D-4072-AAA0-9B8022F9CD0C}" xr6:coauthVersionLast="47" xr6:coauthVersionMax="47" xr10:uidLastSave="{345ED5BB-7C83-4D06-ADF6-A3CF877EFF86}"/>
  <bookViews>
    <workbookView xWindow="20370" yWindow="-120" windowWidth="20730" windowHeight="11160" tabRatio="498" firstSheet="2" activeTab="2" xr2:uid="{EAA9509D-80F2-44E3-8117-25C023EDD4F8}"/>
  </bookViews>
  <sheets>
    <sheet name="ปริมาณขยะรายเดือน " sheetId="3" r:id="rId1"/>
    <sheet name="คำนวณ%" sheetId="2" r:id="rId2"/>
    <sheet name="คำนวณ ปริมาณขยะ" sheetId="1" r:id="rId3"/>
  </sheets>
  <definedNames>
    <definedName name="_xlnm.Print_Area" localSheetId="2">'คำนวณ ปริมาณขยะ'!$A$3:$M$36</definedName>
    <definedName name="_xlnm.Print_Area" localSheetId="0">'ปริมาณขยะรายเดือน '!$A$1:$M$34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N19" i="3"/>
  <c r="N4" i="3"/>
  <c r="M19" i="3"/>
  <c r="B21" i="1"/>
  <c r="P8" i="1"/>
  <c r="C12" i="3"/>
  <c r="C4" i="2" s="1"/>
  <c r="D12" i="3"/>
  <c r="E12" i="3"/>
  <c r="F12" i="3"/>
  <c r="G12" i="3"/>
  <c r="G4" i="2"/>
  <c r="H12" i="3"/>
  <c r="I12" i="3"/>
  <c r="J12" i="3"/>
  <c r="K12" i="3"/>
  <c r="K4" i="2"/>
  <c r="L12" i="3"/>
  <c r="M12" i="3"/>
  <c r="M4" i="2"/>
  <c r="B12" i="3"/>
  <c r="B4" i="2"/>
  <c r="H14" i="1"/>
  <c r="H21" i="1"/>
  <c r="B3" i="2"/>
  <c r="C3" i="2"/>
  <c r="D3" i="2"/>
  <c r="E3" i="2"/>
  <c r="F3" i="2"/>
  <c r="F6" i="2" s="1"/>
  <c r="G3" i="2"/>
  <c r="H3" i="2"/>
  <c r="H6" i="2" s="1"/>
  <c r="H7" i="2" s="1"/>
  <c r="I3" i="2"/>
  <c r="J3" i="2"/>
  <c r="L3" i="2"/>
  <c r="M3" i="2"/>
  <c r="M5" i="2"/>
  <c r="M6" i="2" s="1"/>
  <c r="L19" i="3"/>
  <c r="L5" i="2"/>
  <c r="K19" i="3"/>
  <c r="K5" i="2" s="1"/>
  <c r="J19" i="3"/>
  <c r="J5" i="2" s="1"/>
  <c r="I19" i="3"/>
  <c r="I5" i="2"/>
  <c r="H19" i="3"/>
  <c r="H5" i="2"/>
  <c r="G19" i="3"/>
  <c r="G5" i="2" s="1"/>
  <c r="F19" i="3"/>
  <c r="F5" i="2"/>
  <c r="E19" i="3"/>
  <c r="E5" i="2"/>
  <c r="D19" i="3"/>
  <c r="D5" i="2"/>
  <c r="C19" i="3"/>
  <c r="C5" i="2" s="1"/>
  <c r="B19" i="3"/>
  <c r="B5" i="2"/>
  <c r="L4" i="2"/>
  <c r="J4" i="2"/>
  <c r="J6" i="2" s="1"/>
  <c r="J8" i="2" s="1"/>
  <c r="I4" i="2"/>
  <c r="H4" i="2"/>
  <c r="F4" i="2"/>
  <c r="E4" i="2"/>
  <c r="E6" i="2" s="1"/>
  <c r="D4" i="2"/>
  <c r="V10" i="1"/>
  <c r="V14" i="1" s="1"/>
  <c r="AA8" i="1"/>
  <c r="Z8" i="1"/>
  <c r="Z14" i="1" s="1"/>
  <c r="B14" i="1"/>
  <c r="C14" i="1"/>
  <c r="Q8" i="1"/>
  <c r="D14" i="1"/>
  <c r="R8" i="1"/>
  <c r="R10" i="1" s="1"/>
  <c r="R13" i="1" s="1"/>
  <c r="E14" i="1"/>
  <c r="S8" i="1" s="1"/>
  <c r="F14" i="1"/>
  <c r="T8" i="1"/>
  <c r="G14" i="1"/>
  <c r="U8" i="1" s="1"/>
  <c r="C21" i="1"/>
  <c r="Q9" i="1" s="1"/>
  <c r="D21" i="1"/>
  <c r="R9" i="1" s="1"/>
  <c r="E21" i="1"/>
  <c r="S9" i="1" s="1"/>
  <c r="F21" i="1"/>
  <c r="T9" i="1" s="1"/>
  <c r="G21" i="1"/>
  <c r="U9" i="1" s="1"/>
  <c r="I21" i="1"/>
  <c r="J21" i="1"/>
  <c r="K21" i="1"/>
  <c r="L21" i="1"/>
  <c r="M21" i="1"/>
  <c r="P9" i="1"/>
  <c r="I14" i="1"/>
  <c r="J14" i="1"/>
  <c r="K14" i="1"/>
  <c r="L14" i="1"/>
  <c r="M14" i="1"/>
  <c r="W10" i="1"/>
  <c r="W12" i="1" s="1"/>
  <c r="Y10" i="1"/>
  <c r="Y12" i="1" s="1"/>
  <c r="I6" i="2"/>
  <c r="I7" i="2" s="1"/>
  <c r="B6" i="2"/>
  <c r="B7" i="2" s="1"/>
  <c r="V12" i="1"/>
  <c r="V13" i="1"/>
  <c r="X10" i="1"/>
  <c r="X14" i="1" s="1"/>
  <c r="AA10" i="1"/>
  <c r="AA12" i="1"/>
  <c r="Y13" i="1"/>
  <c r="B8" i="2"/>
  <c r="AA13" i="1"/>
  <c r="AA14" i="1"/>
  <c r="Z10" i="1"/>
  <c r="Z13" i="1" s="1"/>
  <c r="X12" i="1"/>
  <c r="R12" i="1" l="1"/>
  <c r="M9" i="2"/>
  <c r="M7" i="2"/>
  <c r="M8" i="2"/>
  <c r="Q10" i="1"/>
  <c r="Q12" i="1" s="1"/>
  <c r="H9" i="2"/>
  <c r="G6" i="2"/>
  <c r="G7" i="2" s="1"/>
  <c r="F7" i="2"/>
  <c r="F8" i="2"/>
  <c r="F9" i="2"/>
  <c r="U10" i="1"/>
  <c r="U13" i="1" s="1"/>
  <c r="P13" i="1"/>
  <c r="P14" i="1"/>
  <c r="E7" i="2"/>
  <c r="P12" i="1"/>
  <c r="E8" i="2"/>
  <c r="E9" i="2"/>
  <c r="T10" i="1"/>
  <c r="J7" i="2"/>
  <c r="K6" i="2"/>
  <c r="K7" i="2"/>
  <c r="S10" i="1"/>
  <c r="S13" i="1" s="1"/>
  <c r="S14" i="1"/>
  <c r="L7" i="2"/>
  <c r="C6" i="2"/>
  <c r="C8" i="2" s="1"/>
  <c r="Y14" i="1"/>
  <c r="Z12" i="1"/>
  <c r="I8" i="2"/>
  <c r="L6" i="2"/>
  <c r="D6" i="2"/>
  <c r="J9" i="2"/>
  <c r="B9" i="2"/>
  <c r="X13" i="1"/>
  <c r="H8" i="2"/>
  <c r="I9" i="2"/>
  <c r="R14" i="1"/>
  <c r="W13" i="1"/>
  <c r="W14" i="1"/>
  <c r="D8" i="2" l="1"/>
  <c r="D9" i="2"/>
  <c r="S12" i="1"/>
  <c r="T14" i="1"/>
  <c r="T13" i="1"/>
  <c r="D7" i="2"/>
  <c r="L8" i="2"/>
  <c r="L9" i="2"/>
  <c r="Q14" i="1"/>
  <c r="Q13" i="1"/>
  <c r="U12" i="1"/>
  <c r="K8" i="2"/>
  <c r="K9" i="2"/>
  <c r="G8" i="2"/>
  <c r="G9" i="2"/>
  <c r="C7" i="2"/>
  <c r="C9" i="2"/>
  <c r="U14" i="1"/>
  <c r="T12" i="1"/>
</calcChain>
</file>

<file path=xl/sharedStrings.xml><?xml version="1.0" encoding="utf-8"?>
<sst xmlns="http://schemas.openxmlformats.org/spreadsheetml/2006/main" count="235" uniqueCount="51">
  <si>
    <t>แบบฟอร์ม 4.1(1)</t>
  </si>
  <si>
    <t>รายการขยะ</t>
  </si>
  <si>
    <t>ปริมาณ (ระบุหน่วยเป็น ก.ก. หรือ ลิตร ) ปี 2567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</si>
  <si>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</si>
  <si>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</si>
  <si>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</si>
  <si>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</si>
  <si>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</si>
  <si>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</si>
  <si>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</si>
  <si>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</si>
  <si>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</si>
  <si>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</si>
  <si>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</si>
  <si>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</si>
  <si>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ขยะทั่วไป (ฝังกลบเท่านั้น)</t>
  </si>
  <si>
    <t>ขยะอันตราย</t>
  </si>
  <si>
    <t>หมึกพิมพ์</t>
  </si>
  <si>
    <t>-</t>
  </si>
  <si>
    <t>หลอดไฟ</t>
  </si>
  <si>
    <t>ถ่ายไฟฉาย</t>
  </si>
  <si>
    <t>น้ำยาลบคำผิด</t>
  </si>
  <si>
    <t>ขวดสเปรย์ปรับอากาศ/สเปรย์กำจัดแมลง</t>
  </si>
  <si>
    <t xml:space="preserve">กระป๋องน้ำยาเคมีต่าง ๆ </t>
  </si>
  <si>
    <t>รวมขยะอันตราย</t>
  </si>
  <si>
    <t>ขยะรีไซเคิล / นำกลับมาใช้ใหม่</t>
  </si>
  <si>
    <t>กระดาษ</t>
  </si>
  <si>
    <t>กล่องลัง</t>
  </si>
  <si>
    <t>ขวดพลาสติก</t>
  </si>
  <si>
    <t>ใบไม้</t>
  </si>
  <si>
    <t>เศษอาหาร</t>
  </si>
  <si>
    <t>รวมขยะรีไซเคิล / นำกลับมาใช้ใหม่</t>
  </si>
  <si>
    <t xml:space="preserve">หมายเหตุ </t>
  </si>
  <si>
    <t xml:space="preserve">1. ผู้ที่ได้รับมอบหมาย ต้องลงบันทึกปริมาณทุกวันที่สิ้นเดือน         </t>
  </si>
  <si>
    <t>2. รายการขยะของแต่ละประเภทสามารถเพิ่มเติมหรือตัดออกได้ขึ้นอยู่กับขยะที่เกิดขึ้นของแต่ละสำนักงาน</t>
  </si>
  <si>
    <t xml:space="preserve">ปริมาณ (ระบุหน่วยเป็น ก.ก. หรือ ลิตร ) </t>
  </si>
  <si>
    <t>ขยะทั่วไป</t>
  </si>
  <si>
    <t>รวมขยะทั้งหมด</t>
  </si>
  <si>
    <t>%ขยะรีไซเคิล / นำกลับมาใช้ใหม่</t>
  </si>
  <si>
    <t>%ปริมาณขยะทั่วไป(ฝังกลบ)</t>
  </si>
  <si>
    <t>%ปริมาณขยะอันตราย</t>
  </si>
  <si>
    <r>
      <rPr>
        <b/>
        <u/>
        <sz val="18"/>
        <rFont val="Cordia New"/>
        <family val="2"/>
      </rPr>
      <t>วิธีแรก</t>
    </r>
    <r>
      <rPr>
        <sz val="18"/>
        <rFont val="Cordia New"/>
        <family val="2"/>
      </rPr>
      <t xml:space="preserve"> คือ คิด % ตามรายเดือน จะได้ % ตามตารางข้างล่าง คือ 26.49, 23.47, 23.03, 16.94, 28.32, 30.13</t>
    </r>
  </si>
  <si>
    <t xml:space="preserve">%การนำขยะกลับมาใช้ใหม่ของแต่ละเดือน = </t>
  </si>
  <si>
    <t>(ขยะรีไซเคิลหรือนำกลับมาใช้ใหม่ x 100) ÷ ขยะรวมทั้งหมด</t>
  </si>
  <si>
    <r>
      <rPr>
        <b/>
        <u/>
        <sz val="18"/>
        <rFont val="Cordia New"/>
        <family val="2"/>
      </rPr>
      <t>วิธีที่สอง</t>
    </r>
    <r>
      <rPr>
        <sz val="18"/>
        <rFont val="Cordia New"/>
        <family val="2"/>
      </rPr>
      <t>คือ คิด% ขยะสะสมทั้งหมด เช่น ตอนนี้เก็บข้อมูลได้ 6 เดือน จะคำนวณดังนี้</t>
    </r>
  </si>
  <si>
    <t xml:space="preserve">%การนำขยะกลับมาใช้ใหม่รวม 6 เดือน = </t>
  </si>
  <si>
    <t>[(137.6+107.9+94+61.8+149.2+219.8) x 100] ÷ (519.4+459.7+408.2+364.9+526.9+729.6) = 25.60%</t>
  </si>
  <si>
    <t>ขยะทั่วไป (ฝังกลบ)</t>
  </si>
  <si>
    <t>%ขยะอันตราย</t>
  </si>
  <si>
    <t>อาหาร</t>
  </si>
  <si>
    <t>2. รายการขยะของแต่ละประเภทสามรถเพิ่มเติมหรือตัดออกได้ขึ้นอยู่กับขยะที่เกิดขึ้นของแต่ละสำนักงาน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</si>
</sst>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0"/>
      <name val="Arial"/>
    </font>
    <font>
      <sz val="10"/>
      <name val="Arial"/>
    </font>
    <font>
      <sz val="16"/>
      <name val="Cordia New"/>
      <family val="2"/>
    </font>
    <font>
      <b/>
      <sz val="16"/>
      <name val="Cordia New"/>
      <family val="2"/>
    </font>
    <font>
      <sz val="18"/>
      <name val="Cordia New"/>
      <family val="2"/>
    </font>
    <font>
      <b/>
      <u/>
      <sz val="18"/>
      <name val="Cordia New"/>
      <family val="2"/>
    </font>
    <font>
      <b/>
      <sz val="18"/>
      <name val="Cordia New"/>
      <family val="2"/>
    </font>
    <font>
      <sz val="16"/>
      <color theme="1"/>
      <name val="Cordia New"/>
      <family val="2"/>
    </font>
    <font>
      <sz val="18"/>
      <color theme="1"/>
      <name val="Cordia New"/>
      <family val="2"/>
    </font>
    <font>
      <sz val="18"/>
      <color rgb="FFFF0000"/>
      <name val="Cordia New"/>
      <family val="2"/>
    </font>
    <font>
      <b/>
      <sz val="18"/>
      <color rgb="FFFF0000"/>
      <name val="Cordia New"/>
      <family val="2"/>
    </font>
    <font>
      <sz val="16"/>
      <color rgb="FFFF0000"/>
      <name val="Cordia New"/>
      <family val="2"/>
    </font>
    <font>
      <sz val="16"/>
      <color theme="1"/>
      <name val="Arial"/>
      <family val="2"/>
    </font>
    <font>
      <b/>
      <sz val="18"/>
      <color theme="0"/>
      <name val="Cordia New"/>
      <family val="2"/>
    </font>
    <font>
      <sz val="18"/>
      <color theme="0"/>
      <name val="Cordia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5" borderId="1" xfId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9" fontId="9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/>
    </xf>
    <xf numFmtId="9" fontId="2" fillId="10" borderId="1" xfId="1" applyFont="1" applyFill="1" applyBorder="1" applyAlignment="1">
      <alignment horizontal="center"/>
    </xf>
    <xf numFmtId="9" fontId="11" fillId="9" borderId="1" xfId="1" applyFont="1" applyFill="1" applyBorder="1" applyAlignment="1">
      <alignment horizontal="center"/>
    </xf>
    <xf numFmtId="0" fontId="2" fillId="10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8" fillId="9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top" wrapText="1"/>
    </xf>
    <xf numFmtId="0" fontId="12" fillId="11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left" vertical="top" wrapText="1"/>
    </xf>
    <xf numFmtId="0" fontId="2" fillId="10" borderId="9" xfId="0" applyFont="1" applyFill="1" applyBorder="1" applyAlignment="1">
      <alignment horizontal="center" vertical="top"/>
    </xf>
    <xf numFmtId="0" fontId="2" fillId="10" borderId="4" xfId="0" applyFont="1" applyFill="1" applyBorder="1" applyAlignment="1">
      <alignment horizontal="center" vertical="top"/>
    </xf>
    <xf numFmtId="0" fontId="8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'ปริมาณขยะรายเดือน '!$A$4</c:f>
              <c:strCache>
                <c:ptCount val="1"/>
                <c:pt idx="0">
                  <c:v>ขยะทั่วไป (ฝังกลบเท่านั้น)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'!$B$4:$M$4</c:f>
              <c:numCache>
                <c:formatCode>General</c:formatCode>
                <c:ptCount val="12"/>
                <c:pt idx="0">
                  <c:v>381.8</c:v>
                </c:pt>
                <c:pt idx="1">
                  <c:v>347.7</c:v>
                </c:pt>
                <c:pt idx="2">
                  <c:v>314.2</c:v>
                </c:pt>
                <c:pt idx="3">
                  <c:v>303.10000000000002</c:v>
                </c:pt>
                <c:pt idx="4">
                  <c:v>372.9</c:v>
                </c:pt>
                <c:pt idx="5">
                  <c:v>496.7</c:v>
                </c:pt>
                <c:pt idx="6">
                  <c:v>319.60000000000002</c:v>
                </c:pt>
                <c:pt idx="7">
                  <c:v>478.5</c:v>
                </c:pt>
                <c:pt idx="8">
                  <c:v>422.2</c:v>
                </c:pt>
                <c:pt idx="9">
                  <c:v>3131.7</c:v>
                </c:pt>
                <c:pt idx="10">
                  <c:v>258.10000000000002</c:v>
                </c:pt>
                <c:pt idx="11">
                  <c:v>299.2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B-42BF-A76D-7846C3D47E04}"/>
            </c:ext>
          </c:extLst>
        </c:ser>
        <c:ser>
          <c:idx val="1"/>
          <c:order val="1"/>
          <c:tx>
            <c:strRef>
              <c:f>'ปริมาณขยะรายเดือน '!$A$12</c:f>
              <c:strCache>
                <c:ptCount val="1"/>
                <c:pt idx="0">
                  <c:v>รวมขยะอันตราย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'!$B$12:$M$12</c:f>
              <c:numCache>
                <c:formatCode>General</c:formatCode>
                <c:ptCount val="12"/>
                <c:pt idx="0">
                  <c:v>0</c:v>
                </c:pt>
                <c:pt idx="1">
                  <c:v>4.0999999999999996</c:v>
                </c:pt>
                <c:pt idx="2">
                  <c:v>0</c:v>
                </c:pt>
                <c:pt idx="3">
                  <c:v>0</c:v>
                </c:pt>
                <c:pt idx="4">
                  <c:v>4.8</c:v>
                </c:pt>
                <c:pt idx="5">
                  <c:v>13.100000000000001</c:v>
                </c:pt>
                <c:pt idx="6">
                  <c:v>8.1999999999999993</c:v>
                </c:pt>
                <c:pt idx="7">
                  <c:v>8.6</c:v>
                </c:pt>
                <c:pt idx="8">
                  <c:v>1.8</c:v>
                </c:pt>
                <c:pt idx="9">
                  <c:v>0.8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B-42BF-A76D-7846C3D47E04}"/>
            </c:ext>
          </c:extLst>
        </c:ser>
        <c:ser>
          <c:idx val="2"/>
          <c:order val="2"/>
          <c:tx>
            <c:strRef>
              <c:f>'ปริมาณขยะรายเดือน '!$A$19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spPr>
            <a:solidFill>
              <a:srgbClr val="FFD13F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'ปริมาณขยะรายเดือน '!$B$19:$M$19</c:f>
              <c:numCache>
                <c:formatCode>General</c:formatCode>
                <c:ptCount val="12"/>
                <c:pt idx="0">
                  <c:v>137.6</c:v>
                </c:pt>
                <c:pt idx="1">
                  <c:v>107.9</c:v>
                </c:pt>
                <c:pt idx="2">
                  <c:v>94</c:v>
                </c:pt>
                <c:pt idx="3">
                  <c:v>61.8</c:v>
                </c:pt>
                <c:pt idx="4">
                  <c:v>149.19999999999999</c:v>
                </c:pt>
                <c:pt idx="5">
                  <c:v>219.8</c:v>
                </c:pt>
                <c:pt idx="6">
                  <c:v>106.7</c:v>
                </c:pt>
                <c:pt idx="7">
                  <c:v>133.20000000000002</c:v>
                </c:pt>
                <c:pt idx="8">
                  <c:v>109.89999999999999</c:v>
                </c:pt>
                <c:pt idx="9">
                  <c:v>100.19999999999999</c:v>
                </c:pt>
                <c:pt idx="10">
                  <c:v>90.3</c:v>
                </c:pt>
                <c:pt idx="11">
                  <c:v>119.1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8B-42BF-A76D-7846C3D47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009023"/>
        <c:axId val="1"/>
      </c:barChart>
      <c:catAx>
        <c:axId val="42200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4220090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2.893175527780217E-2"/>
          <c:y val="0.89000284602978841"/>
          <c:w val="0.94594138557959062"/>
          <c:h val="9.291237390506912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670704199264034E-2"/>
          <c:y val="3.3783847498521181E-2"/>
          <c:w val="0.91141183388537395"/>
          <c:h val="0.74073052674333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'คำนวณ%'!$A$7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'คำนวณ%'!$B$7:$M$7</c:f>
              <c:numCache>
                <c:formatCode>0%</c:formatCode>
                <c:ptCount val="12"/>
                <c:pt idx="0">
                  <c:v>0.26492106276472854</c:v>
                </c:pt>
                <c:pt idx="1">
                  <c:v>0.23471829453991733</c:v>
                </c:pt>
                <c:pt idx="2">
                  <c:v>0.23027927486526215</c:v>
                </c:pt>
                <c:pt idx="3">
                  <c:v>0.16936146889558781</c:v>
                </c:pt>
                <c:pt idx="4">
                  <c:v>0.28316568608844184</c:v>
                </c:pt>
                <c:pt idx="5">
                  <c:v>0.30126096491228072</c:v>
                </c:pt>
                <c:pt idx="6">
                  <c:v>0.24556962025316456</c:v>
                </c:pt>
                <c:pt idx="7">
                  <c:v>0.21473480573915849</c:v>
                </c:pt>
                <c:pt idx="8">
                  <c:v>0.20584379097209216</c:v>
                </c:pt>
                <c:pt idx="9">
                  <c:v>0.24162044851700021</c:v>
                </c:pt>
                <c:pt idx="10">
                  <c:v>0.25918484500574052</c:v>
                </c:pt>
                <c:pt idx="11">
                  <c:v>0.28472388238106622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7-4D7D-9C5E-1F3F61C3A397}"/>
            </c:ext>
          </c:extLst>
        </c:ser>
        <c:ser>
          <c:idx val="1"/>
          <c:order val="1"/>
          <c:tx>
            <c:strRef>
              <c:f>'คำนวณ%'!$A$8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'คำนวณ%'!$B$8:$M$8</c:f>
              <c:numCache>
                <c:formatCode>0%</c:formatCode>
                <c:ptCount val="12"/>
                <c:pt idx="0">
                  <c:v>0.73507893723527151</c:v>
                </c:pt>
                <c:pt idx="1">
                  <c:v>0.75636284533391329</c:v>
                </c:pt>
                <c:pt idx="2">
                  <c:v>0.76972072513473788</c:v>
                </c:pt>
                <c:pt idx="3">
                  <c:v>0.8306385311044121</c:v>
                </c:pt>
                <c:pt idx="4">
                  <c:v>0.70772442588726514</c:v>
                </c:pt>
                <c:pt idx="5">
                  <c:v>0.6807839912280701</c:v>
                </c:pt>
                <c:pt idx="6">
                  <c:v>0.73555811277330274</c:v>
                </c:pt>
                <c:pt idx="7">
                  <c:v>0.77140093503143636</c:v>
                </c:pt>
                <c:pt idx="8">
                  <c:v>0.79078479115939315</c:v>
                </c:pt>
                <c:pt idx="9">
                  <c:v>0.75645044610561851</c:v>
                </c:pt>
                <c:pt idx="10">
                  <c:v>0.74081515499425943</c:v>
                </c:pt>
                <c:pt idx="11">
                  <c:v>0.71527611761893384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7-4D7D-9C5E-1F3F61C3A397}"/>
            </c:ext>
          </c:extLst>
        </c:ser>
        <c:ser>
          <c:idx val="2"/>
          <c:order val="2"/>
          <c:tx>
            <c:strRef>
              <c:f>'คำนวณ%'!$A$9</c:f>
              <c:strCache>
                <c:ptCount val="1"/>
                <c:pt idx="0">
                  <c:v>%ปริมาณขยะอันตราย</c:v>
                </c:pt>
              </c:strCache>
            </c:strRef>
          </c:tx>
          <c:spPr>
            <a:solidFill>
              <a:srgbClr val="FFD13F"/>
            </a:solidFill>
          </c:spPr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'คำนวณ%'!$B$9:$M$9</c:f>
              <c:numCache>
                <c:formatCode>0%</c:formatCode>
                <c:ptCount val="12"/>
                <c:pt idx="0">
                  <c:v>0</c:v>
                </c:pt>
                <c:pt idx="1">
                  <c:v>8.9188601261692389E-3</c:v>
                </c:pt>
                <c:pt idx="2">
                  <c:v>0</c:v>
                </c:pt>
                <c:pt idx="3">
                  <c:v>0</c:v>
                </c:pt>
                <c:pt idx="4">
                  <c:v>9.1098880242930346E-3</c:v>
                </c:pt>
                <c:pt idx="5">
                  <c:v>1.7955043859649123E-2</c:v>
                </c:pt>
                <c:pt idx="6">
                  <c:v>1.8872266973532795E-2</c:v>
                </c:pt>
                <c:pt idx="7">
                  <c:v>1.3864259229405124E-2</c:v>
                </c:pt>
                <c:pt idx="8">
                  <c:v>3.3714178685147035E-3</c:v>
                </c:pt>
                <c:pt idx="9">
                  <c:v>1.9291053773812395E-3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7-4D7D-9C5E-1F3F61C3A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563600"/>
        <c:axId val="1"/>
      </c:barChart>
      <c:catAx>
        <c:axId val="57356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57356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4555055618047747E-2"/>
          <c:y val="0.90846147907982089"/>
          <c:w val="0.83799879181768944"/>
          <c:h val="8.1930163141372025E-2"/>
        </c:manualLayout>
      </c:layout>
      <c:overlay val="0"/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'คำนวณ ปริมาณขยะ'!$A$6</c:f>
              <c:strCache>
                <c:ptCount val="1"/>
                <c:pt idx="0">
                  <c:v>ขยะทั่วไป (ฝังกลบ)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2567</c:v>
                  </c:pt>
                </c:lvl>
              </c:multiLvlStrCache>
            </c:multiLvlStrRef>
          </c:cat>
          <c:val>
            <c:numRef>
              <c:f>'คำนวณ ปริมาณขยะ'!$B$6:$M$6</c:f>
              <c:numCache>
                <c:formatCode>General</c:formatCode>
                <c:ptCount val="12"/>
                <c:pt idx="0">
                  <c:v>381.8</c:v>
                </c:pt>
                <c:pt idx="1">
                  <c:v>347.7</c:v>
                </c:pt>
                <c:pt idx="2">
                  <c:v>314.2</c:v>
                </c:pt>
                <c:pt idx="3">
                  <c:v>303.10000000000002</c:v>
                </c:pt>
                <c:pt idx="4">
                  <c:v>372.9</c:v>
                </c:pt>
                <c:pt idx="5">
                  <c:v>496.7</c:v>
                </c:pt>
                <c:pt idx="6">
                  <c:v>319.60000000000002</c:v>
                </c:pt>
                <c:pt idx="7">
                  <c:v>478.5</c:v>
                </c:pt>
                <c:pt idx="8">
                  <c:v>422.2</c:v>
                </c:pt>
                <c:pt idx="9">
                  <c:v>313.7</c:v>
                </c:pt>
                <c:pt idx="10">
                  <c:v>258.10000000000002</c:v>
                </c:pt>
                <c:pt idx="11">
                  <c:v>299.2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6-42A9-AC0B-5AA7A9EAD38B}"/>
            </c:ext>
          </c:extLst>
        </c:ser>
        <c:ser>
          <c:idx val="1"/>
          <c:order val="1"/>
          <c:tx>
            <c:strRef>
              <c:f>'คำนวณ ปริมาณขยะ'!$A$14</c:f>
              <c:strCache>
                <c:ptCount val="1"/>
                <c:pt idx="0">
                  <c:v>รวมขยะอันตราย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2567</c:v>
                  </c:pt>
                </c:lvl>
              </c:multiLvlStrCache>
            </c:multiLvlStrRef>
          </c:cat>
          <c:val>
            <c:numRef>
              <c:f>'คำนวณ ปริมาณขยะ'!$B$14:$M$14</c:f>
              <c:numCache>
                <c:formatCode>General</c:formatCode>
                <c:ptCount val="12"/>
                <c:pt idx="0">
                  <c:v>0</c:v>
                </c:pt>
                <c:pt idx="1">
                  <c:v>4.0999999999999996</c:v>
                </c:pt>
                <c:pt idx="2">
                  <c:v>0</c:v>
                </c:pt>
                <c:pt idx="3">
                  <c:v>0</c:v>
                </c:pt>
                <c:pt idx="4">
                  <c:v>4.8</c:v>
                </c:pt>
                <c:pt idx="5">
                  <c:v>13.100000000000001</c:v>
                </c:pt>
                <c:pt idx="6">
                  <c:v>8.1999999999999993</c:v>
                </c:pt>
                <c:pt idx="7">
                  <c:v>8.6</c:v>
                </c:pt>
                <c:pt idx="8">
                  <c:v>1.8</c:v>
                </c:pt>
                <c:pt idx="9">
                  <c:v>0.8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96-42A9-AC0B-5AA7A9EAD38B}"/>
            </c:ext>
          </c:extLst>
        </c:ser>
        <c:ser>
          <c:idx val="2"/>
          <c:order val="2"/>
          <c:tx>
            <c:strRef>
              <c:f>'คำนวณ ปริมาณขยะ'!$A$21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2567</c:v>
                  </c:pt>
                </c:lvl>
              </c:multiLvlStrCache>
            </c:multiLvlStrRef>
          </c:cat>
          <c:val>
            <c:numRef>
              <c:f>'คำนวณ ปริมาณขยะ'!$B$21:$M$21</c:f>
              <c:numCache>
                <c:formatCode>General</c:formatCode>
                <c:ptCount val="12"/>
                <c:pt idx="0">
                  <c:v>137.6</c:v>
                </c:pt>
                <c:pt idx="1">
                  <c:v>107.9</c:v>
                </c:pt>
                <c:pt idx="2">
                  <c:v>94</c:v>
                </c:pt>
                <c:pt idx="3">
                  <c:v>61.8</c:v>
                </c:pt>
                <c:pt idx="4">
                  <c:v>149.19999999999999</c:v>
                </c:pt>
                <c:pt idx="5">
                  <c:v>219.8</c:v>
                </c:pt>
                <c:pt idx="6">
                  <c:v>106.7</c:v>
                </c:pt>
                <c:pt idx="7">
                  <c:v>133.20000000000002</c:v>
                </c:pt>
                <c:pt idx="8">
                  <c:v>109.89999999999999</c:v>
                </c:pt>
                <c:pt idx="9">
                  <c:v>100.19999999999999</c:v>
                </c:pt>
                <c:pt idx="10">
                  <c:v>90.3</c:v>
                </c:pt>
                <c:pt idx="11">
                  <c:v>119.1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96-42A9-AC0B-5AA7A9EAD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058688"/>
        <c:axId val="1"/>
      </c:lineChart>
      <c:catAx>
        <c:axId val="57305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573058688"/>
        <c:crosses val="autoZero"/>
        <c:crossBetween val="between"/>
        <c:majorUnit val="50"/>
      </c:valAx>
    </c:plotArea>
    <c:legend>
      <c:legendPos val="r"/>
      <c:layout>
        <c:manualLayout>
          <c:xMode val="edge"/>
          <c:yMode val="edge"/>
          <c:x val="0.72204904667873848"/>
          <c:y val="0.42285893051247381"/>
          <c:w val="0.23783023480025456"/>
          <c:h val="0.14622275245897287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'คำนวณ ปริมาณขยะ'!$O$12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2567</c:v>
                  </c:pt>
                </c:lvl>
              </c:multiLvlStrCache>
            </c:multiLvlStrRef>
          </c:cat>
          <c:val>
            <c:numRef>
              <c:f>'คำนวณ ปริมาณขยะ'!$P$12:$AA$12</c:f>
              <c:numCache>
                <c:formatCode>0.0%</c:formatCode>
                <c:ptCount val="12"/>
                <c:pt idx="0">
                  <c:v>0.26492106276472854</c:v>
                </c:pt>
                <c:pt idx="1">
                  <c:v>0.23471829453991733</c:v>
                </c:pt>
                <c:pt idx="2">
                  <c:v>0.23027927486526215</c:v>
                </c:pt>
                <c:pt idx="3">
                  <c:v>0.16936146889558781</c:v>
                </c:pt>
                <c:pt idx="4">
                  <c:v>0.28316568608844184</c:v>
                </c:pt>
                <c:pt idx="5">
                  <c:v>0.30126096491228072</c:v>
                </c:pt>
                <c:pt idx="6">
                  <c:v>0.24556962025316456</c:v>
                </c:pt>
                <c:pt idx="7">
                  <c:v>0.21473480573915846</c:v>
                </c:pt>
                <c:pt idx="8">
                  <c:v>0.20584379097209218</c:v>
                </c:pt>
                <c:pt idx="9">
                  <c:v>0.24162044851700026</c:v>
                </c:pt>
                <c:pt idx="10">
                  <c:v>0.25918484500574052</c:v>
                </c:pt>
                <c:pt idx="11">
                  <c:v>0.28472388238106622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A-4844-925D-B8F0E2E3F3EC}"/>
            </c:ext>
          </c:extLst>
        </c:ser>
        <c:ser>
          <c:idx val="1"/>
          <c:order val="1"/>
          <c:tx>
            <c:strRef>
              <c:f>'คำนวณ ปริมาณขยะ'!$O$13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2567</c:v>
                  </c:pt>
                </c:lvl>
              </c:multiLvlStrCache>
            </c:multiLvlStrRef>
          </c:cat>
          <c:val>
            <c:numRef>
              <c:f>'คำนวณ ปริมาณขยะ'!$P$13:$AA$13</c:f>
              <c:numCache>
                <c:formatCode>0.0%</c:formatCode>
                <c:ptCount val="12"/>
                <c:pt idx="0">
                  <c:v>0.73507893723527151</c:v>
                </c:pt>
                <c:pt idx="1">
                  <c:v>0.75636284533391329</c:v>
                </c:pt>
                <c:pt idx="2">
                  <c:v>0.76972072513473788</c:v>
                </c:pt>
                <c:pt idx="3">
                  <c:v>0.8306385311044121</c:v>
                </c:pt>
                <c:pt idx="4">
                  <c:v>0.70772442588726514</c:v>
                </c:pt>
                <c:pt idx="5">
                  <c:v>0.6807839912280701</c:v>
                </c:pt>
                <c:pt idx="6">
                  <c:v>0.73555811277330274</c:v>
                </c:pt>
                <c:pt idx="7">
                  <c:v>0.77140093503143647</c:v>
                </c:pt>
                <c:pt idx="8">
                  <c:v>0.79078479115939315</c:v>
                </c:pt>
                <c:pt idx="9">
                  <c:v>0.75645044610561851</c:v>
                </c:pt>
                <c:pt idx="10">
                  <c:v>0.74081515499425943</c:v>
                </c:pt>
                <c:pt idx="11">
                  <c:v>0.71527611761893384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A-4844-925D-B8F0E2E3F3EC}"/>
            </c:ext>
          </c:extLst>
        </c:ser>
        <c:ser>
          <c:idx val="2"/>
          <c:order val="2"/>
          <c:tx>
            <c:strRef>
              <c:f>'คำนวณ ปริมาณขยะ'!$O$14</c:f>
              <c:strCache>
                <c:ptCount val="1"/>
                <c:pt idx="0">
                  <c:v>%ขยะอันตราย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2567</c:v>
                  </c:pt>
                </c:lvl>
              </c:multiLvlStrCache>
            </c:multiLvlStrRef>
          </c:cat>
          <c:val>
            <c:numRef>
              <c:f>'คำนวณ ปริมาณขยะ'!$P$14:$AA$14</c:f>
              <c:numCache>
                <c:formatCode>0%</c:formatCode>
                <c:ptCount val="12"/>
                <c:pt idx="0">
                  <c:v>0</c:v>
                </c:pt>
                <c:pt idx="1">
                  <c:v>8.9188601261692389E-3</c:v>
                </c:pt>
                <c:pt idx="2">
                  <c:v>0</c:v>
                </c:pt>
                <c:pt idx="3">
                  <c:v>0</c:v>
                </c:pt>
                <c:pt idx="4">
                  <c:v>9.1098880242930346E-3</c:v>
                </c:pt>
                <c:pt idx="5">
                  <c:v>1.7955043859649123E-2</c:v>
                </c:pt>
                <c:pt idx="6">
                  <c:v>1.8872266973532795E-2</c:v>
                </c:pt>
                <c:pt idx="7">
                  <c:v>1.3864259229405127E-2</c:v>
                </c:pt>
                <c:pt idx="8">
                  <c:v>3.3714178685147035E-3</c:v>
                </c:pt>
                <c:pt idx="9">
                  <c:v>1.9291053773812395E-3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A-4844-925D-B8F0E2E3F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564080"/>
        <c:axId val="1"/>
      </c:barChart>
      <c:catAx>
        <c:axId val="57356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57356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554725150881559"/>
          <c:y val="0.41971285640576977"/>
          <c:w val="0.15753378285341446"/>
          <c:h val="0.1541806312672454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228600</xdr:rowOff>
    </xdr:from>
    <xdr:to>
      <xdr:col>12</xdr:col>
      <xdr:colOff>266700</xdr:colOff>
      <xdr:row>33</xdr:row>
      <xdr:rowOff>247650</xdr:rowOff>
    </xdr:to>
    <xdr:graphicFrame macro="">
      <xdr:nvGraphicFramePr>
        <xdr:cNvPr id="53320" name="แผนภูมิ 1">
          <a:extLst>
            <a:ext uri="{FF2B5EF4-FFF2-40B4-BE49-F238E27FC236}">
              <a16:creationId xmlns:a16="http://schemas.microsoft.com/office/drawing/2014/main" id="{C3C35A2C-F059-EE76-83C8-3B8B80A50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133350</xdr:rowOff>
    </xdr:from>
    <xdr:to>
      <xdr:col>12</xdr:col>
      <xdr:colOff>409575</xdr:colOff>
      <xdr:row>22</xdr:row>
      <xdr:rowOff>123825</xdr:rowOff>
    </xdr:to>
    <xdr:graphicFrame macro="">
      <xdr:nvGraphicFramePr>
        <xdr:cNvPr id="17495" name="Chart 5">
          <a:extLst>
            <a:ext uri="{FF2B5EF4-FFF2-40B4-BE49-F238E27FC236}">
              <a16:creationId xmlns:a16="http://schemas.microsoft.com/office/drawing/2014/main" id="{7D916519-BA15-2F04-7826-432672BF2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24</xdr:row>
      <xdr:rowOff>104775</xdr:rowOff>
    </xdr:from>
    <xdr:to>
      <xdr:col>13</xdr:col>
      <xdr:colOff>0</xdr:colOff>
      <xdr:row>37</xdr:row>
      <xdr:rowOff>276225</xdr:rowOff>
    </xdr:to>
    <xdr:graphicFrame macro="">
      <xdr:nvGraphicFramePr>
        <xdr:cNvPr id="1231" name="Chart 4">
          <a:extLst>
            <a:ext uri="{FF2B5EF4-FFF2-40B4-BE49-F238E27FC236}">
              <a16:creationId xmlns:a16="http://schemas.microsoft.com/office/drawing/2014/main" id="{0F9E30E0-660C-0ABB-91A1-E8F352BFA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15</xdr:row>
      <xdr:rowOff>238125</xdr:rowOff>
    </xdr:from>
    <xdr:to>
      <xdr:col>27</xdr:col>
      <xdr:colOff>104775</xdr:colOff>
      <xdr:row>29</xdr:row>
      <xdr:rowOff>38100</xdr:rowOff>
    </xdr:to>
    <xdr:graphicFrame macro="">
      <xdr:nvGraphicFramePr>
        <xdr:cNvPr id="1232" name="Chart 5">
          <a:extLst>
            <a:ext uri="{FF2B5EF4-FFF2-40B4-BE49-F238E27FC236}">
              <a16:creationId xmlns:a16="http://schemas.microsoft.com/office/drawing/2014/main" id="{E720C023-38A0-10FB-6856-B467F5E75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FC37-D296-46BA-A754-14877E3C5DEC}">
  <dimension ref="A1:N22"/>
  <sheetViews>
    <sheetView zoomScale="80" zoomScaleNormal="80" zoomScaleSheetLayoutView="80" workbookViewId="0">
      <selection activeCell="N20" sqref="N20"/>
    </sheetView>
  </sheetViews>
  <sheetFormatPr defaultRowHeight="27.75"/>
  <cols>
    <col min="1" max="1" width="29.5703125" style="9" customWidth="1"/>
    <col min="2" max="13" width="7.7109375" style="10" customWidth="1"/>
    <col min="14" max="16384" width="9.140625" style="9"/>
  </cols>
  <sheetData>
    <row r="1" spans="1:14" ht="25.5" customHeight="1">
      <c r="B1" s="9"/>
      <c r="K1" s="34"/>
      <c r="L1" s="10" t="s">
        <v>0</v>
      </c>
    </row>
    <row r="2" spans="1:14" s="33" customFormat="1" ht="26.25">
      <c r="A2" s="87" t="s">
        <v>1</v>
      </c>
      <c r="B2" s="84" t="s">
        <v>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6"/>
    </row>
    <row r="3" spans="1:14" ht="21" customHeight="1">
      <c r="A3" s="88"/>
      <c r="B3" s="59" t="s">
        <v>3</v>
      </c>
      <c r="C3" s="59" t="s">
        <v>4</v>
      </c>
      <c r="D3" s="59" t="s">
        <v>5</v>
      </c>
      <c r="E3" s="59" t="s">
        <v>6</v>
      </c>
      <c r="F3" s="59" t="s">
        <v>7</v>
      </c>
      <c r="G3" s="59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</row>
    <row r="4" spans="1:14" ht="23.25" customHeight="1">
      <c r="A4" s="76" t="s">
        <v>15</v>
      </c>
      <c r="B4" s="69">
        <v>381.8</v>
      </c>
      <c r="C4" s="69">
        <v>347.7</v>
      </c>
      <c r="D4" s="69">
        <v>314.2</v>
      </c>
      <c r="E4" s="69">
        <v>303.10000000000002</v>
      </c>
      <c r="F4" s="69">
        <v>372.9</v>
      </c>
      <c r="G4" s="69">
        <v>496.7</v>
      </c>
      <c r="H4" s="77">
        <v>319.60000000000002</v>
      </c>
      <c r="I4" s="78">
        <v>478.5</v>
      </c>
      <c r="J4" s="78">
        <v>422.2</v>
      </c>
      <c r="K4" s="78">
        <v>3131.7</v>
      </c>
      <c r="L4" s="78">
        <v>258.10000000000002</v>
      </c>
      <c r="M4" s="78">
        <v>299.2</v>
      </c>
      <c r="N4" s="9">
        <f>SUM(B4:M4)</f>
        <v>7125.7</v>
      </c>
    </row>
    <row r="5" spans="1:14" ht="23.25" customHeight="1">
      <c r="A5" s="53" t="s">
        <v>16</v>
      </c>
      <c r="B5" s="60"/>
      <c r="C5" s="60"/>
      <c r="D5" s="60"/>
      <c r="E5" s="60"/>
      <c r="F5" s="60"/>
      <c r="G5" s="60"/>
      <c r="H5" s="61"/>
      <c r="I5" s="60"/>
      <c r="J5" s="60"/>
      <c r="K5" s="60"/>
      <c r="L5" s="60"/>
      <c r="M5" s="60"/>
    </row>
    <row r="6" spans="1:14" ht="23.25" customHeight="1">
      <c r="A6" s="54" t="s">
        <v>17</v>
      </c>
      <c r="B6" s="62" t="s">
        <v>18</v>
      </c>
      <c r="C6" s="62">
        <v>2.6</v>
      </c>
      <c r="D6" s="62" t="s">
        <v>18</v>
      </c>
      <c r="E6" s="62" t="s">
        <v>18</v>
      </c>
      <c r="F6" s="62">
        <v>2.5</v>
      </c>
      <c r="G6" s="62">
        <v>6.2</v>
      </c>
      <c r="H6" s="61">
        <v>6</v>
      </c>
      <c r="I6" s="60">
        <v>1.7</v>
      </c>
      <c r="J6" s="60" t="s">
        <v>18</v>
      </c>
      <c r="K6" s="60" t="s">
        <v>18</v>
      </c>
      <c r="L6" s="60" t="s">
        <v>18</v>
      </c>
      <c r="M6" s="60" t="s">
        <v>18</v>
      </c>
    </row>
    <row r="7" spans="1:14" ht="23.25" customHeight="1">
      <c r="A7" s="54" t="s">
        <v>19</v>
      </c>
      <c r="B7" s="62" t="s">
        <v>18</v>
      </c>
      <c r="C7" s="62">
        <v>1.5</v>
      </c>
      <c r="D7" s="62" t="s">
        <v>18</v>
      </c>
      <c r="E7" s="62" t="s">
        <v>18</v>
      </c>
      <c r="F7" s="62">
        <v>1.5</v>
      </c>
      <c r="G7" s="62">
        <v>6.4</v>
      </c>
      <c r="H7" s="61">
        <v>1.7</v>
      </c>
      <c r="I7" s="60">
        <v>5.7</v>
      </c>
      <c r="J7" s="60">
        <v>0.5</v>
      </c>
      <c r="K7" s="60" t="s">
        <v>18</v>
      </c>
      <c r="L7" s="60" t="s">
        <v>18</v>
      </c>
      <c r="M7" s="60" t="s">
        <v>18</v>
      </c>
    </row>
    <row r="8" spans="1:14" ht="23.25" customHeight="1">
      <c r="A8" s="55" t="s">
        <v>20</v>
      </c>
      <c r="B8" s="62" t="s">
        <v>18</v>
      </c>
      <c r="C8" s="63"/>
      <c r="D8" s="62" t="s">
        <v>18</v>
      </c>
      <c r="E8" s="62" t="s">
        <v>18</v>
      </c>
      <c r="F8" s="62">
        <v>0.8</v>
      </c>
      <c r="G8" s="62">
        <v>0.5</v>
      </c>
      <c r="H8" s="61">
        <v>0.5</v>
      </c>
      <c r="I8" s="60" t="s">
        <v>18</v>
      </c>
      <c r="J8" s="60">
        <v>0.2</v>
      </c>
      <c r="K8" s="60">
        <v>0.8</v>
      </c>
      <c r="L8" s="60" t="s">
        <v>18</v>
      </c>
      <c r="M8" s="60" t="s">
        <v>18</v>
      </c>
    </row>
    <row r="9" spans="1:14" ht="23.25" customHeight="1">
      <c r="A9" s="55" t="s">
        <v>21</v>
      </c>
      <c r="B9" s="62" t="s">
        <v>18</v>
      </c>
      <c r="C9" s="62" t="s">
        <v>18</v>
      </c>
      <c r="D9" s="62" t="s">
        <v>18</v>
      </c>
      <c r="E9" s="62" t="s">
        <v>18</v>
      </c>
      <c r="F9" s="62" t="s">
        <v>18</v>
      </c>
      <c r="G9" s="62" t="s">
        <v>18</v>
      </c>
      <c r="H9" s="61" t="s">
        <v>18</v>
      </c>
      <c r="I9" s="60" t="s">
        <v>18</v>
      </c>
      <c r="J9" s="60" t="s">
        <v>18</v>
      </c>
      <c r="K9" s="60" t="s">
        <v>18</v>
      </c>
      <c r="L9" s="60" t="s">
        <v>18</v>
      </c>
      <c r="M9" s="60" t="s">
        <v>18</v>
      </c>
    </row>
    <row r="10" spans="1:14" ht="41.25" customHeight="1">
      <c r="A10" s="83" t="s">
        <v>22</v>
      </c>
      <c r="B10" s="62" t="s">
        <v>18</v>
      </c>
      <c r="C10" s="62" t="s">
        <v>18</v>
      </c>
      <c r="D10" s="62" t="s">
        <v>18</v>
      </c>
      <c r="E10" s="62" t="s">
        <v>18</v>
      </c>
      <c r="F10" s="62" t="s">
        <v>18</v>
      </c>
      <c r="G10" s="62" t="s">
        <v>18</v>
      </c>
      <c r="H10" s="61" t="s">
        <v>18</v>
      </c>
      <c r="I10" s="60">
        <v>1.2</v>
      </c>
      <c r="J10" s="60">
        <v>1.1000000000000001</v>
      </c>
      <c r="K10" s="60" t="s">
        <v>18</v>
      </c>
      <c r="L10" s="60" t="s">
        <v>18</v>
      </c>
      <c r="M10" s="60" t="s">
        <v>18</v>
      </c>
    </row>
    <row r="11" spans="1:14" ht="23.25" customHeight="1">
      <c r="A11" s="26" t="s">
        <v>23</v>
      </c>
      <c r="B11" s="62" t="s">
        <v>18</v>
      </c>
      <c r="C11" s="62" t="s">
        <v>18</v>
      </c>
      <c r="D11" s="62" t="s">
        <v>18</v>
      </c>
      <c r="E11" s="62" t="s">
        <v>18</v>
      </c>
      <c r="F11" s="62" t="s">
        <v>18</v>
      </c>
      <c r="G11" s="62" t="s">
        <v>18</v>
      </c>
      <c r="H11" s="61" t="s">
        <v>18</v>
      </c>
      <c r="I11" s="60" t="s">
        <v>18</v>
      </c>
      <c r="J11" s="60" t="s">
        <v>18</v>
      </c>
      <c r="K11" s="60" t="s">
        <v>18</v>
      </c>
      <c r="L11" s="60" t="s">
        <v>18</v>
      </c>
      <c r="M11" s="60" t="s">
        <v>18</v>
      </c>
    </row>
    <row r="12" spans="1:14" ht="23.25" customHeight="1">
      <c r="A12" s="53" t="s">
        <v>24</v>
      </c>
      <c r="B12" s="64">
        <f>SUM(B6:B11)</f>
        <v>0</v>
      </c>
      <c r="C12" s="64">
        <f t="shared" ref="C12:M12" si="0">SUM(C6:C11)</f>
        <v>4.0999999999999996</v>
      </c>
      <c r="D12" s="64">
        <f t="shared" si="0"/>
        <v>0</v>
      </c>
      <c r="E12" s="64">
        <f t="shared" si="0"/>
        <v>0</v>
      </c>
      <c r="F12" s="64">
        <f t="shared" si="0"/>
        <v>4.8</v>
      </c>
      <c r="G12" s="64">
        <f t="shared" si="0"/>
        <v>13.100000000000001</v>
      </c>
      <c r="H12" s="64">
        <f t="shared" si="0"/>
        <v>8.1999999999999993</v>
      </c>
      <c r="I12" s="64">
        <f t="shared" si="0"/>
        <v>8.6</v>
      </c>
      <c r="J12" s="64">
        <f t="shared" si="0"/>
        <v>1.8</v>
      </c>
      <c r="K12" s="64">
        <f t="shared" si="0"/>
        <v>0.8</v>
      </c>
      <c r="L12" s="64">
        <f t="shared" si="0"/>
        <v>0</v>
      </c>
      <c r="M12" s="64">
        <f t="shared" si="0"/>
        <v>0</v>
      </c>
    </row>
    <row r="13" spans="1:14" ht="23.25" customHeight="1">
      <c r="A13" s="57" t="s">
        <v>25</v>
      </c>
      <c r="B13" s="65"/>
      <c r="C13" s="60"/>
      <c r="D13" s="60"/>
      <c r="E13" s="60"/>
      <c r="F13" s="60"/>
      <c r="G13" s="60"/>
      <c r="H13" s="61"/>
      <c r="I13" s="60"/>
      <c r="J13" s="60"/>
      <c r="K13" s="60"/>
      <c r="L13" s="60"/>
      <c r="M13" s="60"/>
    </row>
    <row r="14" spans="1:14" ht="23.25" customHeight="1">
      <c r="A14" s="56" t="s">
        <v>26</v>
      </c>
      <c r="B14" s="62">
        <v>10.199999999999999</v>
      </c>
      <c r="C14" s="62">
        <v>2.2000000000000002</v>
      </c>
      <c r="D14" s="62">
        <v>7.6</v>
      </c>
      <c r="E14" s="62">
        <v>8.5</v>
      </c>
      <c r="F14" s="62">
        <v>59.4</v>
      </c>
      <c r="G14" s="62">
        <v>54.4</v>
      </c>
      <c r="H14" s="61">
        <v>18.7</v>
      </c>
      <c r="I14" s="60">
        <v>21.1</v>
      </c>
      <c r="J14" s="60">
        <v>7.3</v>
      </c>
      <c r="K14" s="60">
        <v>7.3</v>
      </c>
      <c r="L14" s="60">
        <v>1.8</v>
      </c>
      <c r="M14" s="60">
        <v>10.5</v>
      </c>
    </row>
    <row r="15" spans="1:14" ht="23.25" customHeight="1">
      <c r="A15" s="56" t="s">
        <v>27</v>
      </c>
      <c r="B15" s="62">
        <v>8.9</v>
      </c>
      <c r="C15" s="62">
        <v>2.7</v>
      </c>
      <c r="D15" s="62">
        <v>1.7</v>
      </c>
      <c r="E15" s="62">
        <v>5.8</v>
      </c>
      <c r="F15" s="62">
        <v>8.4</v>
      </c>
      <c r="G15" s="62">
        <v>47.6</v>
      </c>
      <c r="H15" s="61">
        <v>14.3</v>
      </c>
      <c r="I15" s="60">
        <v>8.1999999999999993</v>
      </c>
      <c r="J15" s="60">
        <v>14.4</v>
      </c>
      <c r="K15" s="60">
        <v>6.7</v>
      </c>
      <c r="L15" s="60">
        <v>15.3</v>
      </c>
      <c r="M15" s="60">
        <v>36.4</v>
      </c>
    </row>
    <row r="16" spans="1:14" ht="23.25" customHeight="1">
      <c r="A16" s="58" t="s">
        <v>28</v>
      </c>
      <c r="B16" s="62">
        <v>1</v>
      </c>
      <c r="C16" s="62">
        <v>4.5</v>
      </c>
      <c r="D16" s="62">
        <v>7.2</v>
      </c>
      <c r="E16" s="62">
        <v>5.2</v>
      </c>
      <c r="F16" s="62">
        <v>10.199999999999999</v>
      </c>
      <c r="G16" s="62">
        <v>14.3</v>
      </c>
      <c r="H16" s="61">
        <v>11.6</v>
      </c>
      <c r="I16" s="60">
        <v>18.399999999999999</v>
      </c>
      <c r="J16" s="60">
        <v>11.3</v>
      </c>
      <c r="K16" s="60">
        <v>5.7</v>
      </c>
      <c r="L16" s="60">
        <v>3.4</v>
      </c>
      <c r="M16" s="60">
        <v>2</v>
      </c>
    </row>
    <row r="17" spans="1:14" ht="23.25" customHeight="1">
      <c r="A17" s="56" t="s">
        <v>29</v>
      </c>
      <c r="B17" s="62" t="s">
        <v>18</v>
      </c>
      <c r="C17" s="62" t="s">
        <v>18</v>
      </c>
      <c r="D17" s="62" t="s">
        <v>18</v>
      </c>
      <c r="E17" s="62" t="s">
        <v>18</v>
      </c>
      <c r="F17" s="62" t="s">
        <v>18</v>
      </c>
      <c r="G17" s="62" t="s">
        <v>18</v>
      </c>
      <c r="H17" s="61">
        <v>0.5</v>
      </c>
      <c r="I17" s="60">
        <v>0.6</v>
      </c>
      <c r="J17" s="60">
        <v>0.3</v>
      </c>
      <c r="K17" s="60">
        <v>0.4</v>
      </c>
      <c r="L17" s="60">
        <v>0.2</v>
      </c>
      <c r="M17" s="60">
        <v>0.3</v>
      </c>
    </row>
    <row r="18" spans="1:14" ht="23.25" customHeight="1">
      <c r="A18" s="58" t="s">
        <v>30</v>
      </c>
      <c r="B18" s="62">
        <v>117.5</v>
      </c>
      <c r="C18" s="62">
        <v>98.5</v>
      </c>
      <c r="D18" s="62">
        <v>77.5</v>
      </c>
      <c r="E18" s="62">
        <v>42.3</v>
      </c>
      <c r="F18" s="62">
        <v>71.2</v>
      </c>
      <c r="G18" s="62">
        <v>103.5</v>
      </c>
      <c r="H18" s="61">
        <v>61.6</v>
      </c>
      <c r="I18" s="60">
        <v>84.9</v>
      </c>
      <c r="J18" s="60">
        <v>76.599999999999994</v>
      </c>
      <c r="K18" s="60">
        <v>80.099999999999994</v>
      </c>
      <c r="L18" s="60">
        <v>69.599999999999994</v>
      </c>
      <c r="M18" s="60">
        <v>69.900000000000006</v>
      </c>
    </row>
    <row r="19" spans="1:14" ht="55.5">
      <c r="A19" s="73" t="s">
        <v>31</v>
      </c>
      <c r="B19" s="74">
        <f>SUM(B14:B18)</f>
        <v>137.6</v>
      </c>
      <c r="C19" s="74">
        <f t="shared" ref="C19:M19" si="1">SUM(C14:C18)</f>
        <v>107.9</v>
      </c>
      <c r="D19" s="74">
        <f t="shared" si="1"/>
        <v>94</v>
      </c>
      <c r="E19" s="74">
        <f t="shared" si="1"/>
        <v>61.8</v>
      </c>
      <c r="F19" s="74">
        <f t="shared" si="1"/>
        <v>149.19999999999999</v>
      </c>
      <c r="G19" s="74">
        <f t="shared" si="1"/>
        <v>219.8</v>
      </c>
      <c r="H19" s="75">
        <f t="shared" si="1"/>
        <v>106.7</v>
      </c>
      <c r="I19" s="75">
        <f t="shared" si="1"/>
        <v>133.20000000000002</v>
      </c>
      <c r="J19" s="75">
        <f t="shared" si="1"/>
        <v>109.89999999999999</v>
      </c>
      <c r="K19" s="75">
        <f t="shared" si="1"/>
        <v>100.19999999999999</v>
      </c>
      <c r="L19" s="75">
        <f t="shared" si="1"/>
        <v>90.3</v>
      </c>
      <c r="M19" s="75">
        <f>SUM(M14:M18)</f>
        <v>119.1</v>
      </c>
      <c r="N19" s="9">
        <f>SUM(B19:M19)</f>
        <v>1429.7</v>
      </c>
    </row>
    <row r="20" spans="1:14" ht="25.5" customHeight="1">
      <c r="A20" s="9" t="s">
        <v>32</v>
      </c>
    </row>
    <row r="21" spans="1:14" ht="25.5" customHeight="1">
      <c r="A21" s="9" t="s">
        <v>33</v>
      </c>
    </row>
    <row r="22" spans="1:14" ht="24.75" customHeight="1">
      <c r="A22" s="9" t="s">
        <v>34</v>
      </c>
    </row>
  </sheetData>
  <mergeCells count="2">
    <mergeCell ref="B2:M2"/>
    <mergeCell ref="A2:A3"/>
  </mergeCells>
  <pageMargins left="0" right="0" top="0" bottom="0" header="0" footer="0"/>
  <pageSetup paperSize="9" scale="8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D06C-1A06-4960-A08F-06D36A8C3860}">
  <dimension ref="A1:M9"/>
  <sheetViews>
    <sheetView topLeftCell="A10" zoomScale="70" zoomScaleNormal="70" workbookViewId="0">
      <selection activeCell="P14" sqref="P14"/>
    </sheetView>
  </sheetViews>
  <sheetFormatPr defaultRowHeight="24"/>
  <cols>
    <col min="1" max="1" width="35.7109375" style="5" customWidth="1"/>
    <col min="2" max="9" width="9.5703125" style="5" bestFit="1" customWidth="1"/>
    <col min="10" max="13" width="9.140625" style="5"/>
    <col min="14" max="14" width="11.5703125" style="5" customWidth="1"/>
    <col min="15" max="16384" width="9.140625" style="5"/>
  </cols>
  <sheetData>
    <row r="1" spans="1:13">
      <c r="A1" s="90" t="s">
        <v>1</v>
      </c>
      <c r="B1" s="89" t="s">
        <v>35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>
      <c r="A2" s="91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>
      <c r="A3" s="45" t="s">
        <v>36</v>
      </c>
      <c r="B3" s="1">
        <f>'ปริมาณขยะรายเดือน '!$B$4</f>
        <v>381.8</v>
      </c>
      <c r="C3" s="1">
        <f>'ปริมาณขยะรายเดือน '!C4</f>
        <v>347.7</v>
      </c>
      <c r="D3" s="1">
        <f>'ปริมาณขยะรายเดือน '!D4</f>
        <v>314.2</v>
      </c>
      <c r="E3" s="1">
        <f>'ปริมาณขยะรายเดือน '!E4</f>
        <v>303.10000000000002</v>
      </c>
      <c r="F3" s="1">
        <f>'ปริมาณขยะรายเดือน '!F4</f>
        <v>372.9</v>
      </c>
      <c r="G3" s="1">
        <f>'ปริมาณขยะรายเดือน '!G4</f>
        <v>496.7</v>
      </c>
      <c r="H3" s="1">
        <f>'ปริมาณขยะรายเดือน '!H4</f>
        <v>319.60000000000002</v>
      </c>
      <c r="I3" s="1">
        <f>'ปริมาณขยะรายเดือน '!I4</f>
        <v>478.5</v>
      </c>
      <c r="J3" s="1">
        <f>'ปริมาณขยะรายเดือน '!J4</f>
        <v>422.2</v>
      </c>
      <c r="K3" s="1">
        <v>313.7</v>
      </c>
      <c r="L3" s="1">
        <f>'ปริมาณขยะรายเดือน '!L4</f>
        <v>258.10000000000002</v>
      </c>
      <c r="M3" s="1">
        <f>'ปริมาณขยะรายเดือน '!M4</f>
        <v>299.2</v>
      </c>
    </row>
    <row r="4" spans="1:13" ht="22.5" customHeight="1">
      <c r="A4" s="46" t="s">
        <v>16</v>
      </c>
      <c r="B4" s="1">
        <f>'ปริมาณขยะรายเดือน '!$B$12</f>
        <v>0</v>
      </c>
      <c r="C4" s="1">
        <f>'ปริมาณขยะรายเดือน '!C12</f>
        <v>4.0999999999999996</v>
      </c>
      <c r="D4" s="1">
        <f>'ปริมาณขยะรายเดือน '!D12</f>
        <v>0</v>
      </c>
      <c r="E4" s="1">
        <f>'ปริมาณขยะรายเดือน '!E12</f>
        <v>0</v>
      </c>
      <c r="F4" s="1">
        <f>'ปริมาณขยะรายเดือน '!F12</f>
        <v>4.8</v>
      </c>
      <c r="G4" s="1">
        <f>'ปริมาณขยะรายเดือน '!G12</f>
        <v>13.100000000000001</v>
      </c>
      <c r="H4" s="1">
        <f>'ปริมาณขยะรายเดือน '!H12</f>
        <v>8.1999999999999993</v>
      </c>
      <c r="I4" s="1">
        <f>'ปริมาณขยะรายเดือน '!I12</f>
        <v>8.6</v>
      </c>
      <c r="J4" s="1">
        <f>'ปริมาณขยะรายเดือน '!J12</f>
        <v>1.8</v>
      </c>
      <c r="K4" s="1">
        <f>'ปริมาณขยะรายเดือน '!K12</f>
        <v>0.8</v>
      </c>
      <c r="L4" s="1">
        <f>'ปริมาณขยะรายเดือน '!L12</f>
        <v>0</v>
      </c>
      <c r="M4" s="1">
        <f>'ปริมาณขยะรายเดือน '!M12</f>
        <v>0</v>
      </c>
    </row>
    <row r="5" spans="1:13">
      <c r="A5" s="47" t="s">
        <v>25</v>
      </c>
      <c r="B5" s="6">
        <f>'ปริมาณขยะรายเดือน '!$B$19</f>
        <v>137.6</v>
      </c>
      <c r="C5" s="6">
        <f>'ปริมาณขยะรายเดือน '!C19</f>
        <v>107.9</v>
      </c>
      <c r="D5" s="6">
        <f>'ปริมาณขยะรายเดือน '!D19</f>
        <v>94</v>
      </c>
      <c r="E5" s="6">
        <f>'ปริมาณขยะรายเดือน '!E19</f>
        <v>61.8</v>
      </c>
      <c r="F5" s="6">
        <f>'ปริมาณขยะรายเดือน '!F19</f>
        <v>149.19999999999999</v>
      </c>
      <c r="G5" s="6">
        <f>'ปริมาณขยะรายเดือน '!G19</f>
        <v>219.8</v>
      </c>
      <c r="H5" s="6">
        <f>'ปริมาณขยะรายเดือน '!H19</f>
        <v>106.7</v>
      </c>
      <c r="I5" s="6">
        <f>'ปริมาณขยะรายเดือน '!I19</f>
        <v>133.20000000000002</v>
      </c>
      <c r="J5" s="6">
        <f>'ปริมาณขยะรายเดือน '!J19</f>
        <v>109.89999999999999</v>
      </c>
      <c r="K5" s="6">
        <f>'ปริมาณขยะรายเดือน '!K19</f>
        <v>100.19999999999999</v>
      </c>
      <c r="L5" s="6">
        <f>'ปริมาณขยะรายเดือน '!L19</f>
        <v>90.3</v>
      </c>
      <c r="M5" s="6">
        <f>'ปริมาณขยะรายเดือน '!M19</f>
        <v>119.1</v>
      </c>
    </row>
    <row r="6" spans="1:13" ht="25.5" customHeight="1">
      <c r="A6" s="7" t="s">
        <v>37</v>
      </c>
      <c r="B6" s="6">
        <f>SUM(B3:B5)</f>
        <v>519.4</v>
      </c>
      <c r="C6" s="6">
        <f t="shared" ref="C6:M6" si="0">SUM(C3:C5)</f>
        <v>459.70000000000005</v>
      </c>
      <c r="D6" s="6">
        <f t="shared" si="0"/>
        <v>408.2</v>
      </c>
      <c r="E6" s="6">
        <f t="shared" si="0"/>
        <v>364.90000000000003</v>
      </c>
      <c r="F6" s="6">
        <f t="shared" si="0"/>
        <v>526.9</v>
      </c>
      <c r="G6" s="6">
        <f t="shared" si="0"/>
        <v>729.6</v>
      </c>
      <c r="H6" s="6">
        <f t="shared" si="0"/>
        <v>434.5</v>
      </c>
      <c r="I6" s="6">
        <f t="shared" si="0"/>
        <v>620.30000000000007</v>
      </c>
      <c r="J6" s="6">
        <f t="shared" si="0"/>
        <v>533.9</v>
      </c>
      <c r="K6" s="6">
        <f t="shared" si="0"/>
        <v>414.7</v>
      </c>
      <c r="L6" s="6">
        <f t="shared" si="0"/>
        <v>348.40000000000003</v>
      </c>
      <c r="M6" s="6">
        <f t="shared" si="0"/>
        <v>418.29999999999995</v>
      </c>
    </row>
    <row r="7" spans="1:13" ht="26.25" customHeight="1">
      <c r="A7" s="50" t="s">
        <v>38</v>
      </c>
      <c r="B7" s="48">
        <f>B5/B6</f>
        <v>0.26492106276472854</v>
      </c>
      <c r="C7" s="48">
        <f t="shared" ref="C7:M7" si="1">C5/C6</f>
        <v>0.23471829453991733</v>
      </c>
      <c r="D7" s="48">
        <f t="shared" si="1"/>
        <v>0.23027927486526215</v>
      </c>
      <c r="E7" s="48">
        <f t="shared" si="1"/>
        <v>0.16936146889558781</v>
      </c>
      <c r="F7" s="48">
        <f t="shared" si="1"/>
        <v>0.28316568608844184</v>
      </c>
      <c r="G7" s="48">
        <f t="shared" si="1"/>
        <v>0.30126096491228072</v>
      </c>
      <c r="H7" s="48">
        <f t="shared" si="1"/>
        <v>0.24556962025316456</v>
      </c>
      <c r="I7" s="48">
        <f t="shared" si="1"/>
        <v>0.21473480573915849</v>
      </c>
      <c r="J7" s="48">
        <f t="shared" si="1"/>
        <v>0.20584379097209216</v>
      </c>
      <c r="K7" s="48">
        <f t="shared" si="1"/>
        <v>0.24162044851700021</v>
      </c>
      <c r="L7" s="48">
        <f t="shared" si="1"/>
        <v>0.25918484500574052</v>
      </c>
      <c r="M7" s="48">
        <f t="shared" si="1"/>
        <v>0.28472388238106622</v>
      </c>
    </row>
    <row r="8" spans="1:13" ht="26.25" customHeight="1">
      <c r="A8" s="51" t="s">
        <v>39</v>
      </c>
      <c r="B8" s="8">
        <f>B3/B6</f>
        <v>0.73507893723527151</v>
      </c>
      <c r="C8" s="8">
        <f t="shared" ref="C8:M8" si="2">C3/C6</f>
        <v>0.75636284533391329</v>
      </c>
      <c r="D8" s="8">
        <f t="shared" si="2"/>
        <v>0.76972072513473788</v>
      </c>
      <c r="E8" s="8">
        <f t="shared" si="2"/>
        <v>0.8306385311044121</v>
      </c>
      <c r="F8" s="8">
        <f t="shared" si="2"/>
        <v>0.70772442588726514</v>
      </c>
      <c r="G8" s="8">
        <f t="shared" si="2"/>
        <v>0.6807839912280701</v>
      </c>
      <c r="H8" s="8">
        <f t="shared" si="2"/>
        <v>0.73555811277330274</v>
      </c>
      <c r="I8" s="8">
        <f t="shared" si="2"/>
        <v>0.77140093503143636</v>
      </c>
      <c r="J8" s="8">
        <f t="shared" si="2"/>
        <v>0.79078479115939315</v>
      </c>
      <c r="K8" s="8">
        <f t="shared" si="2"/>
        <v>0.75645044610561851</v>
      </c>
      <c r="L8" s="8">
        <f t="shared" si="2"/>
        <v>0.74081515499425943</v>
      </c>
      <c r="M8" s="8">
        <f t="shared" si="2"/>
        <v>0.71527611761893384</v>
      </c>
    </row>
    <row r="9" spans="1:13">
      <c r="A9" s="52" t="s">
        <v>40</v>
      </c>
      <c r="B9" s="49">
        <f>B4/B6</f>
        <v>0</v>
      </c>
      <c r="C9" s="49">
        <f t="shared" ref="C9:M9" si="3">C4/C6</f>
        <v>8.9188601261692389E-3</v>
      </c>
      <c r="D9" s="49">
        <f t="shared" si="3"/>
        <v>0</v>
      </c>
      <c r="E9" s="49">
        <f t="shared" si="3"/>
        <v>0</v>
      </c>
      <c r="F9" s="49">
        <f t="shared" si="3"/>
        <v>9.1098880242930346E-3</v>
      </c>
      <c r="G9" s="49">
        <f t="shared" si="3"/>
        <v>1.7955043859649123E-2</v>
      </c>
      <c r="H9" s="49">
        <f t="shared" si="3"/>
        <v>1.8872266973532795E-2</v>
      </c>
      <c r="I9" s="49">
        <f t="shared" si="3"/>
        <v>1.3864259229405124E-2</v>
      </c>
      <c r="J9" s="49">
        <f t="shared" si="3"/>
        <v>3.3714178685147035E-3</v>
      </c>
      <c r="K9" s="49">
        <f t="shared" si="3"/>
        <v>1.9291053773812395E-3</v>
      </c>
      <c r="L9" s="49">
        <f t="shared" si="3"/>
        <v>0</v>
      </c>
      <c r="M9" s="49">
        <f t="shared" si="3"/>
        <v>0</v>
      </c>
    </row>
  </sheetData>
  <mergeCells count="2">
    <mergeCell ref="B1:M1"/>
    <mergeCell ref="A1:A2"/>
  </mergeCells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92E8-321C-4F3C-8CF2-6F3F4197F8B6}">
  <dimension ref="A1:AA24"/>
  <sheetViews>
    <sheetView tabSelected="1" topLeftCell="N3" zoomScale="60" zoomScaleNormal="60" zoomScaleSheetLayoutView="115" workbookViewId="0">
      <selection activeCell="AD13" sqref="AD13"/>
    </sheetView>
  </sheetViews>
  <sheetFormatPr defaultRowHeight="27.75"/>
  <cols>
    <col min="1" max="1" width="39.42578125" style="9" customWidth="1"/>
    <col min="2" max="13" width="8.28515625" style="10" customWidth="1"/>
    <col min="14" max="14" width="9.140625" style="9"/>
    <col min="15" max="15" width="45.7109375" style="9" customWidth="1"/>
    <col min="16" max="21" width="11.140625" style="9" customWidth="1"/>
    <col min="22" max="27" width="10.42578125" style="9" bestFit="1" customWidth="1"/>
    <col min="28" max="16384" width="9.140625" style="9"/>
  </cols>
  <sheetData>
    <row r="1" spans="1:27">
      <c r="O1" s="9" t="s">
        <v>41</v>
      </c>
    </row>
    <row r="2" spans="1:27" ht="41.25" customHeight="1">
      <c r="B2" s="9"/>
      <c r="L2" s="10" t="s">
        <v>0</v>
      </c>
      <c r="O2" s="11" t="s">
        <v>42</v>
      </c>
      <c r="P2" s="12" t="s">
        <v>43</v>
      </c>
      <c r="R2" s="11"/>
      <c r="S2" s="11"/>
    </row>
    <row r="3" spans="1:27" ht="36" customHeight="1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4"/>
      <c r="O3" s="9" t="s">
        <v>44</v>
      </c>
    </row>
    <row r="4" spans="1:27">
      <c r="A4" s="13" t="s">
        <v>1</v>
      </c>
      <c r="B4" s="70" t="s">
        <v>2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2"/>
      <c r="O4" s="14" t="s">
        <v>45</v>
      </c>
      <c r="P4" s="9" t="s">
        <v>46</v>
      </c>
    </row>
    <row r="5" spans="1:27" ht="21" customHeight="1">
      <c r="A5" s="15"/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6" t="s">
        <v>11</v>
      </c>
      <c r="K5" s="16" t="s">
        <v>12</v>
      </c>
      <c r="L5" s="16" t="s">
        <v>13</v>
      </c>
      <c r="M5" s="16" t="s">
        <v>14</v>
      </c>
      <c r="O5" s="87" t="s">
        <v>1</v>
      </c>
      <c r="P5" s="95" t="s">
        <v>2</v>
      </c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</row>
    <row r="6" spans="1:27" ht="23.25" customHeight="1">
      <c r="A6" s="17" t="s">
        <v>47</v>
      </c>
      <c r="B6" s="66">
        <v>381.8</v>
      </c>
      <c r="C6" s="66">
        <v>347.7</v>
      </c>
      <c r="D6" s="66">
        <v>314.2</v>
      </c>
      <c r="E6" s="66">
        <v>303.10000000000002</v>
      </c>
      <c r="F6" s="66">
        <v>372.9</v>
      </c>
      <c r="G6" s="66">
        <v>496.7</v>
      </c>
      <c r="H6" s="67">
        <v>319.60000000000002</v>
      </c>
      <c r="I6" s="68">
        <v>478.5</v>
      </c>
      <c r="J6" s="68">
        <v>422.2</v>
      </c>
      <c r="K6" s="68">
        <v>313.7</v>
      </c>
      <c r="L6" s="68">
        <v>258.10000000000002</v>
      </c>
      <c r="M6" s="68">
        <v>299.2</v>
      </c>
      <c r="O6" s="88"/>
      <c r="P6" s="18" t="s">
        <v>3</v>
      </c>
      <c r="Q6" s="18" t="s">
        <v>4</v>
      </c>
      <c r="R6" s="18" t="s">
        <v>5</v>
      </c>
      <c r="S6" s="18" t="s">
        <v>6</v>
      </c>
      <c r="T6" s="18" t="s">
        <v>7</v>
      </c>
      <c r="U6" s="18" t="s">
        <v>8</v>
      </c>
      <c r="V6" s="18" t="s">
        <v>9</v>
      </c>
      <c r="W6" s="18" t="s">
        <v>10</v>
      </c>
      <c r="X6" s="18" t="s">
        <v>11</v>
      </c>
      <c r="Y6" s="18" t="s">
        <v>12</v>
      </c>
      <c r="Z6" s="18" t="s">
        <v>13</v>
      </c>
      <c r="AA6" s="18" t="s">
        <v>14</v>
      </c>
    </row>
    <row r="7" spans="1:27" ht="23.25" customHeight="1">
      <c r="A7" s="19" t="s">
        <v>16</v>
      </c>
      <c r="B7" s="20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O7" s="44" t="s">
        <v>36</v>
      </c>
      <c r="P7" s="69">
        <v>381.8</v>
      </c>
      <c r="Q7" s="69">
        <v>347.7</v>
      </c>
      <c r="R7" s="69">
        <v>314.2</v>
      </c>
      <c r="S7" s="69">
        <v>303.10000000000002</v>
      </c>
      <c r="T7" s="69">
        <v>372.9</v>
      </c>
      <c r="U7" s="69">
        <v>496.7</v>
      </c>
      <c r="V7" s="82">
        <v>319.60000000000002</v>
      </c>
      <c r="W7" s="82">
        <v>478.5</v>
      </c>
      <c r="X7" s="82">
        <v>422.2</v>
      </c>
      <c r="Y7" s="82">
        <v>313.7</v>
      </c>
      <c r="Z7" s="82">
        <v>258.10000000000002</v>
      </c>
      <c r="AA7" s="82">
        <v>299.2</v>
      </c>
    </row>
    <row r="8" spans="1:27" ht="23.25" customHeight="1">
      <c r="A8" s="21" t="s">
        <v>17</v>
      </c>
      <c r="B8" s="62" t="s">
        <v>18</v>
      </c>
      <c r="C8" s="62">
        <v>2.6</v>
      </c>
      <c r="D8" s="62" t="s">
        <v>18</v>
      </c>
      <c r="E8" s="62" t="s">
        <v>18</v>
      </c>
      <c r="F8" s="62">
        <v>2.5</v>
      </c>
      <c r="G8" s="62">
        <v>6.2</v>
      </c>
      <c r="H8" s="16">
        <v>6</v>
      </c>
      <c r="I8" s="16">
        <v>1.7</v>
      </c>
      <c r="J8" s="16" t="s">
        <v>18</v>
      </c>
      <c r="K8" s="16" t="s">
        <v>18</v>
      </c>
      <c r="L8" s="16" t="s">
        <v>18</v>
      </c>
      <c r="M8" s="16" t="s">
        <v>18</v>
      </c>
      <c r="O8" s="3" t="s">
        <v>16</v>
      </c>
      <c r="P8" s="22">
        <f>B14</f>
        <v>0</v>
      </c>
      <c r="Q8" s="22">
        <f t="shared" ref="P8:U8" si="0">C14</f>
        <v>4.0999999999999996</v>
      </c>
      <c r="R8" s="22">
        <f t="shared" si="0"/>
        <v>0</v>
      </c>
      <c r="S8" s="22">
        <f t="shared" si="0"/>
        <v>0</v>
      </c>
      <c r="T8" s="22">
        <f t="shared" si="0"/>
        <v>4.8</v>
      </c>
      <c r="U8" s="22">
        <f t="shared" si="0"/>
        <v>13.100000000000001</v>
      </c>
      <c r="V8" s="31">
        <v>8.1999999999999993</v>
      </c>
      <c r="W8" s="31">
        <v>8.6</v>
      </c>
      <c r="X8" s="31">
        <v>1.8</v>
      </c>
      <c r="Y8" s="31">
        <v>0.8</v>
      </c>
      <c r="Z8" s="31">
        <f>'คำนวณ ปริมาณขยะ'!Z17</f>
        <v>0</v>
      </c>
      <c r="AA8" s="31">
        <f>'คำนวณ ปริมาณขยะ'!AA17</f>
        <v>0</v>
      </c>
    </row>
    <row r="9" spans="1:27" ht="23.25" customHeight="1">
      <c r="A9" s="21" t="s">
        <v>19</v>
      </c>
      <c r="B9" s="62" t="s">
        <v>18</v>
      </c>
      <c r="C9" s="62">
        <v>1.5</v>
      </c>
      <c r="D9" s="62" t="s">
        <v>18</v>
      </c>
      <c r="E9" s="62" t="s">
        <v>18</v>
      </c>
      <c r="F9" s="62">
        <v>1.5</v>
      </c>
      <c r="G9" s="62">
        <v>6.4</v>
      </c>
      <c r="H9" s="16">
        <v>1.7</v>
      </c>
      <c r="I9" s="16">
        <v>5.7</v>
      </c>
      <c r="J9" s="16">
        <v>0.5</v>
      </c>
      <c r="K9" s="16" t="s">
        <v>18</v>
      </c>
      <c r="L9" s="16" t="s">
        <v>18</v>
      </c>
      <c r="M9" s="16" t="s">
        <v>18</v>
      </c>
      <c r="O9" s="2" t="s">
        <v>25</v>
      </c>
      <c r="P9" s="40">
        <f t="shared" ref="P9:U9" si="1">B21</f>
        <v>137.6</v>
      </c>
      <c r="Q9" s="40">
        <f t="shared" si="1"/>
        <v>107.9</v>
      </c>
      <c r="R9" s="40">
        <f t="shared" si="1"/>
        <v>94</v>
      </c>
      <c r="S9" s="40">
        <f t="shared" si="1"/>
        <v>61.8</v>
      </c>
      <c r="T9" s="40">
        <f t="shared" si="1"/>
        <v>149.19999999999999</v>
      </c>
      <c r="U9" s="40">
        <f t="shared" si="1"/>
        <v>219.8</v>
      </c>
      <c r="V9" s="81">
        <v>106.7</v>
      </c>
      <c r="W9" s="81">
        <v>133.19999999999999</v>
      </c>
      <c r="X9" s="81">
        <v>109.9</v>
      </c>
      <c r="Y9" s="81">
        <v>100.2</v>
      </c>
      <c r="Z9" s="81">
        <v>90.3</v>
      </c>
      <c r="AA9" s="81">
        <v>119.1</v>
      </c>
    </row>
    <row r="10" spans="1:27" ht="23.25" customHeight="1">
      <c r="A10" s="24" t="s">
        <v>20</v>
      </c>
      <c r="B10" s="62" t="s">
        <v>18</v>
      </c>
      <c r="C10" s="62" t="s">
        <v>18</v>
      </c>
      <c r="D10" s="62" t="s">
        <v>18</v>
      </c>
      <c r="E10" s="62" t="s">
        <v>18</v>
      </c>
      <c r="F10" s="62">
        <v>0.8</v>
      </c>
      <c r="G10" s="62">
        <v>0.5</v>
      </c>
      <c r="H10" s="16">
        <v>0.5</v>
      </c>
      <c r="I10" s="16" t="s">
        <v>18</v>
      </c>
      <c r="J10" s="16">
        <v>0.2</v>
      </c>
      <c r="K10" s="16">
        <v>0.8</v>
      </c>
      <c r="L10" s="16" t="s">
        <v>18</v>
      </c>
      <c r="M10" s="16" t="s">
        <v>18</v>
      </c>
      <c r="O10" s="41" t="s">
        <v>37</v>
      </c>
      <c r="P10" s="23">
        <f>SUM(P7:P9)</f>
        <v>519.4</v>
      </c>
      <c r="Q10" s="23">
        <f t="shared" ref="Q10:AA10" si="2">SUM(Q7:Q9)</f>
        <v>459.70000000000005</v>
      </c>
      <c r="R10" s="23">
        <f t="shared" si="2"/>
        <v>408.2</v>
      </c>
      <c r="S10" s="23">
        <f t="shared" si="2"/>
        <v>364.90000000000003</v>
      </c>
      <c r="T10" s="23">
        <f t="shared" si="2"/>
        <v>526.9</v>
      </c>
      <c r="U10" s="23">
        <f t="shared" si="2"/>
        <v>729.6</v>
      </c>
      <c r="V10" s="23">
        <f t="shared" si="2"/>
        <v>434.5</v>
      </c>
      <c r="W10" s="23">
        <f t="shared" si="2"/>
        <v>620.29999999999995</v>
      </c>
      <c r="X10" s="23">
        <f t="shared" si="2"/>
        <v>533.9</v>
      </c>
      <c r="Y10" s="23">
        <f t="shared" si="2"/>
        <v>414.7</v>
      </c>
      <c r="Z10" s="23">
        <f t="shared" si="2"/>
        <v>348.40000000000003</v>
      </c>
      <c r="AA10" s="23">
        <f t="shared" si="2"/>
        <v>418.29999999999995</v>
      </c>
    </row>
    <row r="11" spans="1:27" ht="23.25" customHeight="1">
      <c r="A11" s="24" t="s">
        <v>21</v>
      </c>
      <c r="B11" s="62" t="s">
        <v>18</v>
      </c>
      <c r="C11" s="62" t="s">
        <v>18</v>
      </c>
      <c r="D11" s="62" t="s">
        <v>18</v>
      </c>
      <c r="E11" s="62" t="s">
        <v>18</v>
      </c>
      <c r="F11" s="62" t="s">
        <v>18</v>
      </c>
      <c r="G11" s="62" t="s">
        <v>18</v>
      </c>
      <c r="H11" s="62" t="s">
        <v>18</v>
      </c>
      <c r="I11" s="16" t="s">
        <v>18</v>
      </c>
      <c r="J11" s="16" t="s">
        <v>18</v>
      </c>
      <c r="K11" s="16" t="s">
        <v>18</v>
      </c>
      <c r="L11" s="16" t="s">
        <v>18</v>
      </c>
      <c r="M11" s="16" t="s">
        <v>18</v>
      </c>
      <c r="O11" s="41"/>
      <c r="P11" s="25"/>
      <c r="Q11" s="25"/>
      <c r="R11" s="25"/>
      <c r="S11" s="25"/>
      <c r="T11" s="25"/>
      <c r="U11" s="25"/>
      <c r="V11" s="23"/>
      <c r="W11" s="23"/>
      <c r="X11" s="23"/>
      <c r="Y11" s="23"/>
      <c r="Z11" s="23"/>
      <c r="AA11" s="23"/>
    </row>
    <row r="12" spans="1:27" ht="23.25" customHeight="1">
      <c r="A12" s="26" t="s">
        <v>22</v>
      </c>
      <c r="B12" s="62" t="s">
        <v>18</v>
      </c>
      <c r="C12" s="62" t="s">
        <v>18</v>
      </c>
      <c r="D12" s="62" t="s">
        <v>18</v>
      </c>
      <c r="E12" s="62" t="s">
        <v>18</v>
      </c>
      <c r="F12" s="62" t="s">
        <v>18</v>
      </c>
      <c r="G12" s="62" t="s">
        <v>18</v>
      </c>
      <c r="H12" s="62" t="s">
        <v>18</v>
      </c>
      <c r="I12" s="16">
        <v>1.2</v>
      </c>
      <c r="J12" s="16">
        <v>1.1000000000000001</v>
      </c>
      <c r="K12" s="16" t="s">
        <v>18</v>
      </c>
      <c r="L12" s="16" t="s">
        <v>18</v>
      </c>
      <c r="M12" s="16" t="s">
        <v>18</v>
      </c>
      <c r="O12" s="42" t="s">
        <v>38</v>
      </c>
      <c r="P12" s="38">
        <f>P9/P10</f>
        <v>0.26492106276472854</v>
      </c>
      <c r="Q12" s="38">
        <f t="shared" ref="Q12:AA12" si="3">Q9/Q10</f>
        <v>0.23471829453991733</v>
      </c>
      <c r="R12" s="38">
        <f t="shared" si="3"/>
        <v>0.23027927486526215</v>
      </c>
      <c r="S12" s="38">
        <f t="shared" si="3"/>
        <v>0.16936146889558781</v>
      </c>
      <c r="T12" s="38">
        <f t="shared" si="3"/>
        <v>0.28316568608844184</v>
      </c>
      <c r="U12" s="38">
        <f t="shared" si="3"/>
        <v>0.30126096491228072</v>
      </c>
      <c r="V12" s="38">
        <f t="shared" si="3"/>
        <v>0.24556962025316456</v>
      </c>
      <c r="W12" s="38">
        <f t="shared" si="3"/>
        <v>0.21473480573915846</v>
      </c>
      <c r="X12" s="38">
        <f t="shared" si="3"/>
        <v>0.20584379097209218</v>
      </c>
      <c r="Y12" s="38">
        <f t="shared" si="3"/>
        <v>0.24162044851700026</v>
      </c>
      <c r="Z12" s="38">
        <f t="shared" si="3"/>
        <v>0.25918484500574052</v>
      </c>
      <c r="AA12" s="38">
        <f t="shared" si="3"/>
        <v>0.28472388238106622</v>
      </c>
    </row>
    <row r="13" spans="1:27" ht="23.25" customHeight="1">
      <c r="A13" s="26" t="s">
        <v>23</v>
      </c>
      <c r="B13" s="62" t="s">
        <v>18</v>
      </c>
      <c r="C13" s="62" t="s">
        <v>18</v>
      </c>
      <c r="D13" s="62" t="s">
        <v>18</v>
      </c>
      <c r="E13" s="62" t="s">
        <v>18</v>
      </c>
      <c r="F13" s="62" t="s">
        <v>18</v>
      </c>
      <c r="G13" s="62" t="s">
        <v>18</v>
      </c>
      <c r="H13" s="62" t="s">
        <v>18</v>
      </c>
      <c r="I13" s="16" t="s">
        <v>18</v>
      </c>
      <c r="J13" s="16" t="s">
        <v>18</v>
      </c>
      <c r="K13" s="16" t="s">
        <v>18</v>
      </c>
      <c r="L13" s="16" t="s">
        <v>18</v>
      </c>
      <c r="M13" s="16" t="s">
        <v>18</v>
      </c>
      <c r="O13" s="42" t="s">
        <v>39</v>
      </c>
      <c r="P13" s="39">
        <f>P7/P10</f>
        <v>0.73507893723527151</v>
      </c>
      <c r="Q13" s="39">
        <f t="shared" ref="Q13:AA13" si="4">Q7/Q10</f>
        <v>0.75636284533391329</v>
      </c>
      <c r="R13" s="39">
        <f t="shared" si="4"/>
        <v>0.76972072513473788</v>
      </c>
      <c r="S13" s="39">
        <f t="shared" si="4"/>
        <v>0.8306385311044121</v>
      </c>
      <c r="T13" s="39">
        <f t="shared" si="4"/>
        <v>0.70772442588726514</v>
      </c>
      <c r="U13" s="39">
        <f t="shared" si="4"/>
        <v>0.6807839912280701</v>
      </c>
      <c r="V13" s="39">
        <f t="shared" si="4"/>
        <v>0.73555811277330274</v>
      </c>
      <c r="W13" s="39">
        <f t="shared" si="4"/>
        <v>0.77140093503143647</v>
      </c>
      <c r="X13" s="39">
        <f t="shared" si="4"/>
        <v>0.79078479115939315</v>
      </c>
      <c r="Y13" s="39">
        <f t="shared" si="4"/>
        <v>0.75645044610561851</v>
      </c>
      <c r="Z13" s="39">
        <f t="shared" si="4"/>
        <v>0.74081515499425943</v>
      </c>
      <c r="AA13" s="39">
        <f t="shared" si="4"/>
        <v>0.71527611761893384</v>
      </c>
    </row>
    <row r="14" spans="1:27" ht="23.25" customHeight="1">
      <c r="A14" s="35" t="s">
        <v>24</v>
      </c>
      <c r="B14" s="79">
        <f t="shared" ref="B14:M14" si="5">SUM(B8:B13)</f>
        <v>0</v>
      </c>
      <c r="C14" s="79">
        <f t="shared" si="5"/>
        <v>4.0999999999999996</v>
      </c>
      <c r="D14" s="79">
        <f t="shared" si="5"/>
        <v>0</v>
      </c>
      <c r="E14" s="79">
        <f t="shared" si="5"/>
        <v>0</v>
      </c>
      <c r="F14" s="80">
        <f t="shared" si="5"/>
        <v>4.8</v>
      </c>
      <c r="G14" s="80">
        <f t="shared" si="5"/>
        <v>13.100000000000001</v>
      </c>
      <c r="H14" s="80">
        <f t="shared" si="5"/>
        <v>8.1999999999999993</v>
      </c>
      <c r="I14" s="80">
        <f t="shared" si="5"/>
        <v>8.6</v>
      </c>
      <c r="J14" s="80">
        <f t="shared" si="5"/>
        <v>1.8</v>
      </c>
      <c r="K14" s="80">
        <f t="shared" si="5"/>
        <v>0.8</v>
      </c>
      <c r="L14" s="80">
        <f t="shared" si="5"/>
        <v>0</v>
      </c>
      <c r="M14" s="80">
        <f t="shared" si="5"/>
        <v>0</v>
      </c>
      <c r="O14" s="24" t="s">
        <v>48</v>
      </c>
      <c r="P14" s="37">
        <f t="shared" ref="P14:AA14" si="6">P8/P10</f>
        <v>0</v>
      </c>
      <c r="Q14" s="37">
        <f t="shared" si="6"/>
        <v>8.9188601261692389E-3</v>
      </c>
      <c r="R14" s="37">
        <f t="shared" si="6"/>
        <v>0</v>
      </c>
      <c r="S14" s="37">
        <f t="shared" si="6"/>
        <v>0</v>
      </c>
      <c r="T14" s="37">
        <f t="shared" si="6"/>
        <v>9.1098880242930346E-3</v>
      </c>
      <c r="U14" s="37">
        <f t="shared" si="6"/>
        <v>1.7955043859649123E-2</v>
      </c>
      <c r="V14" s="37">
        <f t="shared" si="6"/>
        <v>1.8872266973532795E-2</v>
      </c>
      <c r="W14" s="37">
        <f t="shared" si="6"/>
        <v>1.3864259229405127E-2</v>
      </c>
      <c r="X14" s="37">
        <f t="shared" si="6"/>
        <v>3.3714178685147035E-3</v>
      </c>
      <c r="Y14" s="37">
        <f t="shared" si="6"/>
        <v>1.9291053773812395E-3</v>
      </c>
      <c r="Z14" s="37">
        <f t="shared" si="6"/>
        <v>0</v>
      </c>
      <c r="AA14" s="37">
        <f t="shared" si="6"/>
        <v>0</v>
      </c>
    </row>
    <row r="15" spans="1:27" ht="23.25" customHeight="1">
      <c r="A15" s="28" t="s">
        <v>25</v>
      </c>
      <c r="B15" s="29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O15" s="43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23.25" customHeight="1">
      <c r="A16" s="26" t="s">
        <v>26</v>
      </c>
      <c r="B16" s="62">
        <v>10.199999999999999</v>
      </c>
      <c r="C16" s="62">
        <v>2.2000000000000002</v>
      </c>
      <c r="D16" s="62">
        <v>7.6</v>
      </c>
      <c r="E16" s="62">
        <v>8.5</v>
      </c>
      <c r="F16" s="62">
        <v>59.4</v>
      </c>
      <c r="G16" s="62">
        <v>54.4</v>
      </c>
      <c r="H16" s="16">
        <v>18.7</v>
      </c>
      <c r="I16" s="16">
        <v>21.1</v>
      </c>
      <c r="J16" s="16">
        <v>7.3</v>
      </c>
      <c r="K16" s="16">
        <v>7.3</v>
      </c>
      <c r="L16" s="16">
        <v>1.8</v>
      </c>
      <c r="M16" s="16">
        <v>10.5</v>
      </c>
    </row>
    <row r="17" spans="1:13" ht="23.25" customHeight="1">
      <c r="A17" s="26" t="s">
        <v>27</v>
      </c>
      <c r="B17" s="62">
        <v>8.9</v>
      </c>
      <c r="C17" s="62">
        <v>2.7</v>
      </c>
      <c r="D17" s="62">
        <v>1.7</v>
      </c>
      <c r="E17" s="62">
        <v>5.8</v>
      </c>
      <c r="F17" s="62">
        <v>8.4</v>
      </c>
      <c r="G17" s="62">
        <v>47.6</v>
      </c>
      <c r="H17" s="16">
        <v>14.3</v>
      </c>
      <c r="I17" s="16">
        <v>8.1999999999999993</v>
      </c>
      <c r="J17" s="16">
        <v>14.4</v>
      </c>
      <c r="K17" s="16">
        <v>6.7</v>
      </c>
      <c r="L17" s="16">
        <v>15.3</v>
      </c>
      <c r="M17" s="16">
        <v>36.4</v>
      </c>
    </row>
    <row r="18" spans="1:13" ht="23.25" customHeight="1">
      <c r="A18" s="30" t="s">
        <v>28</v>
      </c>
      <c r="B18" s="62">
        <v>1</v>
      </c>
      <c r="C18" s="62">
        <v>4.5</v>
      </c>
      <c r="D18" s="62">
        <v>7.2</v>
      </c>
      <c r="E18" s="62">
        <v>5.2</v>
      </c>
      <c r="F18" s="62">
        <v>10.199999999999999</v>
      </c>
      <c r="G18" s="62">
        <v>14.3</v>
      </c>
      <c r="H18" s="16">
        <v>11.6</v>
      </c>
      <c r="I18" s="16">
        <v>18.399999999999999</v>
      </c>
      <c r="J18" s="16">
        <v>11.3</v>
      </c>
      <c r="K18" s="16">
        <v>5.7</v>
      </c>
      <c r="L18" s="16">
        <v>3.4</v>
      </c>
      <c r="M18" s="16">
        <v>2</v>
      </c>
    </row>
    <row r="19" spans="1:13" ht="23.25" customHeight="1">
      <c r="A19" s="26" t="s">
        <v>29</v>
      </c>
      <c r="B19" s="62" t="s">
        <v>18</v>
      </c>
      <c r="C19" s="62" t="s">
        <v>18</v>
      </c>
      <c r="D19" s="62" t="s">
        <v>18</v>
      </c>
      <c r="E19" s="62" t="s">
        <v>18</v>
      </c>
      <c r="F19" s="62" t="s">
        <v>18</v>
      </c>
      <c r="G19" s="62" t="s">
        <v>18</v>
      </c>
      <c r="H19" s="16">
        <v>0.5</v>
      </c>
      <c r="I19" s="16">
        <v>0.6</v>
      </c>
      <c r="J19" s="16">
        <v>0.3</v>
      </c>
      <c r="K19" s="16">
        <v>0.4</v>
      </c>
      <c r="L19" s="16">
        <v>0.2</v>
      </c>
      <c r="M19" s="16">
        <v>0.3</v>
      </c>
    </row>
    <row r="20" spans="1:13" ht="23.25" customHeight="1">
      <c r="A20" s="30" t="s">
        <v>49</v>
      </c>
      <c r="B20" s="62">
        <v>117.5</v>
      </c>
      <c r="C20" s="62">
        <v>98.5</v>
      </c>
      <c r="D20" s="62">
        <v>77.5</v>
      </c>
      <c r="E20" s="62">
        <v>42.3</v>
      </c>
      <c r="F20" s="62">
        <v>71.2</v>
      </c>
      <c r="G20" s="62">
        <v>103.5</v>
      </c>
      <c r="H20" s="16">
        <v>61.6</v>
      </c>
      <c r="I20" s="16">
        <v>84.9</v>
      </c>
      <c r="J20" s="16">
        <v>76.599999999999994</v>
      </c>
      <c r="K20" s="16">
        <v>80.099999999999994</v>
      </c>
      <c r="L20" s="16">
        <v>69.599999999999994</v>
      </c>
      <c r="M20" s="16">
        <v>69.900000000000006</v>
      </c>
    </row>
    <row r="21" spans="1:13">
      <c r="A21" s="36" t="s">
        <v>31</v>
      </c>
      <c r="B21" s="32">
        <f>SUM(B16:B20)</f>
        <v>137.6</v>
      </c>
      <c r="C21" s="32">
        <f t="shared" ref="C21:M21" si="7">SUM(C16:C20)</f>
        <v>107.9</v>
      </c>
      <c r="D21" s="32">
        <f t="shared" si="7"/>
        <v>94</v>
      </c>
      <c r="E21" s="32">
        <f t="shared" si="7"/>
        <v>61.8</v>
      </c>
      <c r="F21" s="32">
        <f t="shared" si="7"/>
        <v>149.19999999999999</v>
      </c>
      <c r="G21" s="32">
        <f t="shared" si="7"/>
        <v>219.8</v>
      </c>
      <c r="H21" s="32">
        <f t="shared" si="7"/>
        <v>106.7</v>
      </c>
      <c r="I21" s="32">
        <f t="shared" si="7"/>
        <v>133.20000000000002</v>
      </c>
      <c r="J21" s="32">
        <f t="shared" si="7"/>
        <v>109.89999999999999</v>
      </c>
      <c r="K21" s="32">
        <f t="shared" si="7"/>
        <v>100.19999999999999</v>
      </c>
      <c r="L21" s="32">
        <f t="shared" si="7"/>
        <v>90.3</v>
      </c>
      <c r="M21" s="32">
        <f t="shared" si="7"/>
        <v>119.1</v>
      </c>
    </row>
    <row r="22" spans="1:13">
      <c r="A22" s="9" t="s">
        <v>32</v>
      </c>
    </row>
    <row r="23" spans="1:13">
      <c r="A23" s="9" t="s">
        <v>33</v>
      </c>
    </row>
    <row r="24" spans="1:13">
      <c r="A24" s="9" t="s">
        <v>50</v>
      </c>
    </row>
  </sheetData>
  <mergeCells count="3">
    <mergeCell ref="A3:M3"/>
    <mergeCell ref="O5:O6"/>
    <mergeCell ref="P5:AA5"/>
  </mergeCells>
  <phoneticPr fontId="0" type="noConversion"/>
  <pageMargins left="0.74803149606299213" right="0.27559055118110243" top="0.53" bottom="3.937007874015748E-2" header="0.19685039370078741" footer="0.35433070866141736"/>
  <pageSetup paperSize="9" scale="65" fitToWidth="0" fitToHeight="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7" ma:contentTypeDescription="Create a new document." ma:contentTypeScope="" ma:versionID="b4400a85b986940ec853a5376c76bd57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1ed7914f24988dd18249fa3f9f6d717d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89B4A-758D-4B70-BF84-B4E39FB5FF22}"/>
</file>

<file path=customXml/itemProps2.xml><?xml version="1.0" encoding="utf-8"?>
<ds:datastoreItem xmlns:ds="http://schemas.openxmlformats.org/officeDocument/2006/customXml" ds:itemID="{751183D6-3CE0-44C1-8084-23B25D36DC49}"/>
</file>

<file path=customXml/itemProps3.xml><?xml version="1.0" encoding="utf-8"?>
<ds:datastoreItem xmlns:ds="http://schemas.openxmlformats.org/officeDocument/2006/customXml" ds:itemID="{47FCBA66-D350-47C5-AB19-06932F701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2003</dc:creator>
  <cp:keywords/>
  <dc:description/>
  <cp:lastModifiedBy>Guest User</cp:lastModifiedBy>
  <cp:revision/>
  <dcterms:created xsi:type="dcterms:W3CDTF">2008-06-15T06:05:39Z</dcterms:created>
  <dcterms:modified xsi:type="dcterms:W3CDTF">2025-03-17T04:26:04Z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