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ejo365-my.sharepoint.com/personal/researchmju_mju_ac_th/Documents/RAE-Document-Center/07-GreenOffice/resource/"/>
    </mc:Choice>
  </mc:AlternateContent>
  <xr:revisionPtr revIDLastSave="8" documentId="8_{2CA96BB9-9D5B-4BBD-A3B8-9B00E6CB572B}" xr6:coauthVersionLast="47" xr6:coauthVersionMax="47" xr10:uidLastSave="{A8A14DE5-9716-4663-8198-D261FAB5AF6A}"/>
  <bookViews>
    <workbookView xWindow="-120" yWindow="-120" windowWidth="24240" windowHeight="13140" xr2:uid="{598E5E77-AA4E-4BC9-9064-64F7A2894463}"/>
  </bookViews>
  <sheets>
    <sheet name="2569" sheetId="2" r:id="rId1"/>
    <sheet name="2568" sheetId="3" r:id="rId2"/>
    <sheet name="2567" sheetId="4" r:id="rId3"/>
    <sheet name="แต่ละหน่วยงาน" sheetId="5" r:id="rId4"/>
    <sheet name="Reuse" sheetId="6" r:id="rId5"/>
  </sheets>
  <externalReferences>
    <externalReference r:id="rId6"/>
    <externalReference r:id="rId7"/>
  </externalReferences>
  <definedNames>
    <definedName name="_xlnm.Print_Area" localSheetId="0">'2569'!$A$1:$L$100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" i="6" l="1"/>
  <c r="G18" i="6"/>
  <c r="J18" i="6" s="1"/>
  <c r="F18" i="6"/>
  <c r="D18" i="6"/>
  <c r="C18" i="6"/>
  <c r="B18" i="6"/>
  <c r="G17" i="6"/>
  <c r="J17" i="6" s="1"/>
  <c r="F17" i="6"/>
  <c r="E17" i="6"/>
  <c r="C17" i="6"/>
  <c r="B17" i="6"/>
  <c r="J16" i="6"/>
  <c r="I16" i="6"/>
  <c r="K16" i="6" s="1"/>
  <c r="E16" i="6"/>
  <c r="K15" i="6"/>
  <c r="J15" i="6"/>
  <c r="I15" i="6"/>
  <c r="E15" i="6"/>
  <c r="J14" i="6"/>
  <c r="I14" i="6"/>
  <c r="K14" i="6" s="1"/>
  <c r="E14" i="6"/>
  <c r="K13" i="6"/>
  <c r="J13" i="6"/>
  <c r="I13" i="6"/>
  <c r="E13" i="6"/>
  <c r="J12" i="6"/>
  <c r="I12" i="6"/>
  <c r="K12" i="6" s="1"/>
  <c r="E12" i="6"/>
  <c r="K11" i="6"/>
  <c r="J11" i="6"/>
  <c r="I11" i="6"/>
  <c r="E11" i="6"/>
  <c r="J10" i="6"/>
  <c r="I10" i="6"/>
  <c r="K10" i="6" s="1"/>
  <c r="E10" i="6"/>
  <c r="K9" i="6"/>
  <c r="J9" i="6"/>
  <c r="I9" i="6"/>
  <c r="E9" i="6"/>
  <c r="J8" i="6"/>
  <c r="I8" i="6"/>
  <c r="K8" i="6" s="1"/>
  <c r="E8" i="6"/>
  <c r="K7" i="6"/>
  <c r="J7" i="6"/>
  <c r="I7" i="6"/>
  <c r="E7" i="6"/>
  <c r="J6" i="6"/>
  <c r="I6" i="6"/>
  <c r="K6" i="6" s="1"/>
  <c r="E6" i="6"/>
  <c r="K5" i="6"/>
  <c r="J5" i="6"/>
  <c r="I5" i="6"/>
  <c r="I18" i="6" s="1"/>
  <c r="E5" i="6"/>
  <c r="E18" i="6" s="1"/>
  <c r="H128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O112" i="5"/>
  <c r="O128" i="5" s="1"/>
  <c r="N112" i="5"/>
  <c r="N128" i="5" s="1"/>
  <c r="M112" i="5"/>
  <c r="M128" i="5" s="1"/>
  <c r="L112" i="5"/>
  <c r="L128" i="5" s="1"/>
  <c r="K112" i="5"/>
  <c r="K128" i="5" s="1"/>
  <c r="J112" i="5"/>
  <c r="J128" i="5" s="1"/>
  <c r="I112" i="5"/>
  <c r="I128" i="5" s="1"/>
  <c r="H112" i="5"/>
  <c r="G112" i="5"/>
  <c r="G128" i="5" s="1"/>
  <c r="F112" i="5"/>
  <c r="F128" i="5" s="1"/>
  <c r="E112" i="5"/>
  <c r="E128" i="5" s="1"/>
  <c r="D112" i="5"/>
  <c r="D128" i="5" s="1"/>
  <c r="C112" i="5"/>
  <c r="C128" i="5" s="1"/>
  <c r="I108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O92" i="5"/>
  <c r="O108" i="5" s="1"/>
  <c r="N92" i="5"/>
  <c r="N108" i="5" s="1"/>
  <c r="M92" i="5"/>
  <c r="M108" i="5" s="1"/>
  <c r="L92" i="5"/>
  <c r="L108" i="5" s="1"/>
  <c r="K92" i="5"/>
  <c r="K108" i="5" s="1"/>
  <c r="J92" i="5"/>
  <c r="J108" i="5" s="1"/>
  <c r="I92" i="5"/>
  <c r="H92" i="5"/>
  <c r="H108" i="5" s="1"/>
  <c r="G92" i="5"/>
  <c r="G108" i="5" s="1"/>
  <c r="F92" i="5"/>
  <c r="F108" i="5" s="1"/>
  <c r="E92" i="5"/>
  <c r="E108" i="5" s="1"/>
  <c r="D92" i="5"/>
  <c r="D108" i="5" s="1"/>
  <c r="C92" i="5"/>
  <c r="C108" i="5" s="1"/>
  <c r="I87" i="5"/>
  <c r="I88" i="5" s="1"/>
  <c r="L84" i="5"/>
  <c r="I84" i="5"/>
  <c r="G84" i="5"/>
  <c r="N83" i="5"/>
  <c r="N84" i="5" s="1"/>
  <c r="M83" i="5"/>
  <c r="M84" i="5" s="1"/>
  <c r="L83" i="5"/>
  <c r="K83" i="5"/>
  <c r="K84" i="5" s="1"/>
  <c r="J83" i="5"/>
  <c r="J84" i="5" s="1"/>
  <c r="I83" i="5"/>
  <c r="H83" i="5"/>
  <c r="H84" i="5" s="1"/>
  <c r="G83" i="5"/>
  <c r="F83" i="5"/>
  <c r="F84" i="5" s="1"/>
  <c r="O82" i="5"/>
  <c r="N79" i="5"/>
  <c r="L79" i="5"/>
  <c r="I79" i="5"/>
  <c r="F79" i="5"/>
  <c r="N78" i="5"/>
  <c r="M78" i="5"/>
  <c r="M79" i="5" s="1"/>
  <c r="L78" i="5"/>
  <c r="K78" i="5"/>
  <c r="K79" i="5" s="1"/>
  <c r="J78" i="5"/>
  <c r="J79" i="5" s="1"/>
  <c r="I78" i="5"/>
  <c r="H78" i="5"/>
  <c r="H79" i="5" s="1"/>
  <c r="G78" i="5"/>
  <c r="G79" i="5" s="1"/>
  <c r="F78" i="5"/>
  <c r="O78" i="5" s="1"/>
  <c r="O79" i="5" s="1"/>
  <c r="O77" i="5"/>
  <c r="N74" i="5"/>
  <c r="M74" i="5"/>
  <c r="L74" i="5"/>
  <c r="K74" i="5"/>
  <c r="J74" i="5"/>
  <c r="I74" i="5"/>
  <c r="J73" i="5"/>
  <c r="I73" i="5"/>
  <c r="H73" i="5"/>
  <c r="H74" i="5" s="1"/>
  <c r="G73" i="5"/>
  <c r="G74" i="5" s="1"/>
  <c r="F73" i="5"/>
  <c r="F74" i="5" s="1"/>
  <c r="O72" i="5"/>
  <c r="N69" i="5"/>
  <c r="M69" i="5"/>
  <c r="L69" i="5"/>
  <c r="K69" i="5"/>
  <c r="J69" i="5"/>
  <c r="I69" i="5"/>
  <c r="H69" i="5"/>
  <c r="O68" i="5"/>
  <c r="O69" i="5" s="1"/>
  <c r="O67" i="5"/>
  <c r="L64" i="5"/>
  <c r="N63" i="5"/>
  <c r="N87" i="5" s="1"/>
  <c r="N88" i="5" s="1"/>
  <c r="M63" i="5"/>
  <c r="M87" i="5" s="1"/>
  <c r="M88" i="5" s="1"/>
  <c r="L63" i="5"/>
  <c r="L87" i="5" s="1"/>
  <c r="L88" i="5" s="1"/>
  <c r="K63" i="5"/>
  <c r="K64" i="5" s="1"/>
  <c r="J63" i="5"/>
  <c r="J64" i="5" s="1"/>
  <c r="I63" i="5"/>
  <c r="I64" i="5" s="1"/>
  <c r="H63" i="5"/>
  <c r="H87" i="5" s="1"/>
  <c r="G63" i="5"/>
  <c r="G64" i="5" s="1"/>
  <c r="O59" i="5"/>
  <c r="F18" i="4"/>
  <c r="D18" i="4"/>
  <c r="C18" i="4"/>
  <c r="B18" i="4"/>
  <c r="F17" i="4"/>
  <c r="D17" i="4"/>
  <c r="C17" i="4"/>
  <c r="B17" i="4"/>
  <c r="H16" i="4"/>
  <c r="G16" i="4"/>
  <c r="J16" i="4" s="1"/>
  <c r="E16" i="4"/>
  <c r="G15" i="4"/>
  <c r="J15" i="4" s="1"/>
  <c r="E15" i="4"/>
  <c r="J14" i="4"/>
  <c r="I14" i="4"/>
  <c r="K14" i="4" s="1"/>
  <c r="H14" i="4"/>
  <c r="G14" i="4"/>
  <c r="E14" i="4"/>
  <c r="J13" i="4"/>
  <c r="G13" i="4"/>
  <c r="I13" i="4" s="1"/>
  <c r="K13" i="4" s="1"/>
  <c r="E13" i="4"/>
  <c r="J12" i="4"/>
  <c r="I12" i="4"/>
  <c r="K12" i="4" s="1"/>
  <c r="H12" i="4"/>
  <c r="G12" i="4"/>
  <c r="E12" i="4"/>
  <c r="G11" i="4"/>
  <c r="J11" i="4" s="1"/>
  <c r="E11" i="4"/>
  <c r="J10" i="4"/>
  <c r="I10" i="4"/>
  <c r="K10" i="4" s="1"/>
  <c r="E10" i="4"/>
  <c r="J9" i="4"/>
  <c r="I9" i="4"/>
  <c r="K9" i="4" s="1"/>
  <c r="E9" i="4"/>
  <c r="J8" i="4"/>
  <c r="I8" i="4"/>
  <c r="K8" i="4" s="1"/>
  <c r="E8" i="4"/>
  <c r="J7" i="4"/>
  <c r="I7" i="4"/>
  <c r="K7" i="4" s="1"/>
  <c r="E7" i="4"/>
  <c r="J6" i="4"/>
  <c r="I6" i="4"/>
  <c r="K6" i="4" s="1"/>
  <c r="E6" i="4"/>
  <c r="J5" i="4"/>
  <c r="I5" i="4"/>
  <c r="E5" i="4"/>
  <c r="E17" i="4" s="1"/>
  <c r="F18" i="3"/>
  <c r="F17" i="3"/>
  <c r="H16" i="3"/>
  <c r="G16" i="3"/>
  <c r="J16" i="3" s="1"/>
  <c r="H15" i="3"/>
  <c r="G15" i="3"/>
  <c r="J15" i="3" s="1"/>
  <c r="J14" i="3"/>
  <c r="I14" i="3"/>
  <c r="K14" i="3" s="1"/>
  <c r="H14" i="3"/>
  <c r="G14" i="3"/>
  <c r="G13" i="3"/>
  <c r="J13" i="3" s="1"/>
  <c r="G12" i="3"/>
  <c r="J12" i="3" s="1"/>
  <c r="I11" i="3"/>
  <c r="K11" i="3" s="1"/>
  <c r="G11" i="3"/>
  <c r="H11" i="3" s="1"/>
  <c r="J10" i="3"/>
  <c r="I10" i="3"/>
  <c r="K10" i="3" s="1"/>
  <c r="H10" i="3"/>
  <c r="G10" i="3"/>
  <c r="K9" i="3"/>
  <c r="I9" i="3"/>
  <c r="G9" i="3"/>
  <c r="J9" i="3" s="1"/>
  <c r="H8" i="3"/>
  <c r="G8" i="3"/>
  <c r="J8" i="3" s="1"/>
  <c r="K7" i="3"/>
  <c r="I7" i="3"/>
  <c r="H7" i="3"/>
  <c r="G7" i="3"/>
  <c r="J7" i="3" s="1"/>
  <c r="J6" i="3"/>
  <c r="I6" i="3"/>
  <c r="K6" i="3" s="1"/>
  <c r="H6" i="3"/>
  <c r="G6" i="3"/>
  <c r="G5" i="3"/>
  <c r="G17" i="3" s="1"/>
  <c r="H18" i="2"/>
  <c r="G18" i="2"/>
  <c r="F18" i="2"/>
  <c r="H17" i="2"/>
  <c r="G17" i="2"/>
  <c r="F17" i="2"/>
  <c r="J16" i="2"/>
  <c r="I16" i="2"/>
  <c r="K16" i="2" s="1"/>
  <c r="E16" i="2"/>
  <c r="D16" i="2"/>
  <c r="C16" i="2"/>
  <c r="B16" i="2"/>
  <c r="I15" i="2"/>
  <c r="D15" i="2"/>
  <c r="C15" i="2"/>
  <c r="J15" i="2" s="1"/>
  <c r="B15" i="2"/>
  <c r="I14" i="2"/>
  <c r="D14" i="2"/>
  <c r="C14" i="2"/>
  <c r="E14" i="2" s="1"/>
  <c r="K14" i="2" s="1"/>
  <c r="B14" i="2"/>
  <c r="I13" i="2"/>
  <c r="D13" i="2"/>
  <c r="C13" i="2"/>
  <c r="J13" i="2" s="1"/>
  <c r="B13" i="2"/>
  <c r="I12" i="2"/>
  <c r="D12" i="2"/>
  <c r="C12" i="2"/>
  <c r="J12" i="2" s="1"/>
  <c r="B12" i="2"/>
  <c r="J11" i="2"/>
  <c r="I11" i="2"/>
  <c r="D11" i="2"/>
  <c r="C11" i="2"/>
  <c r="B11" i="2"/>
  <c r="E11" i="2" s="1"/>
  <c r="K11" i="2" s="1"/>
  <c r="J10" i="2"/>
  <c r="I10" i="2"/>
  <c r="K10" i="2" s="1"/>
  <c r="E10" i="2"/>
  <c r="D10" i="2"/>
  <c r="C10" i="2"/>
  <c r="B10" i="2"/>
  <c r="I9" i="2"/>
  <c r="K9" i="2" s="1"/>
  <c r="E9" i="2"/>
  <c r="D9" i="2"/>
  <c r="C9" i="2"/>
  <c r="J9" i="2" s="1"/>
  <c r="B9" i="2"/>
  <c r="J8" i="2"/>
  <c r="I8" i="2"/>
  <c r="K8" i="2" s="1"/>
  <c r="E8" i="2"/>
  <c r="D8" i="2"/>
  <c r="C8" i="2"/>
  <c r="B8" i="2"/>
  <c r="I7" i="2"/>
  <c r="D7" i="2"/>
  <c r="C7" i="2"/>
  <c r="J7" i="2" s="1"/>
  <c r="B7" i="2"/>
  <c r="D6" i="2"/>
  <c r="D18" i="2" s="1"/>
  <c r="C6" i="2"/>
  <c r="J6" i="2" s="1"/>
  <c r="B6" i="2"/>
  <c r="I5" i="2"/>
  <c r="I18" i="2" s="1"/>
  <c r="D5" i="2"/>
  <c r="D17" i="2" s="1"/>
  <c r="C5" i="2"/>
  <c r="C18" i="2" s="1"/>
  <c r="B5" i="2"/>
  <c r="B18" i="2" s="1"/>
  <c r="K18" i="6" l="1"/>
  <c r="I17" i="6"/>
  <c r="K17" i="6" s="1"/>
  <c r="H88" i="5"/>
  <c r="M64" i="5"/>
  <c r="J87" i="5"/>
  <c r="J88" i="5" s="1"/>
  <c r="N64" i="5"/>
  <c r="K87" i="5"/>
  <c r="K88" i="5" s="1"/>
  <c r="O73" i="5"/>
  <c r="H64" i="5"/>
  <c r="O83" i="5"/>
  <c r="O84" i="5" s="1"/>
  <c r="I16" i="4"/>
  <c r="K16" i="4" s="1"/>
  <c r="G17" i="4"/>
  <c r="E18" i="4"/>
  <c r="H11" i="4"/>
  <c r="H15" i="4"/>
  <c r="K5" i="4"/>
  <c r="I11" i="4"/>
  <c r="K11" i="4" s="1"/>
  <c r="I15" i="4"/>
  <c r="K15" i="4" s="1"/>
  <c r="G18" i="4"/>
  <c r="J18" i="4" s="1"/>
  <c r="H13" i="4"/>
  <c r="I17" i="3"/>
  <c r="K17" i="3" s="1"/>
  <c r="J17" i="3"/>
  <c r="H5" i="3"/>
  <c r="I8" i="3"/>
  <c r="K8" i="3" s="1"/>
  <c r="J11" i="3"/>
  <c r="H13" i="3"/>
  <c r="I16" i="3"/>
  <c r="K16" i="3" s="1"/>
  <c r="I5" i="3"/>
  <c r="I13" i="3"/>
  <c r="K13" i="3" s="1"/>
  <c r="J5" i="3"/>
  <c r="G18" i="3"/>
  <c r="J18" i="3" s="1"/>
  <c r="H12" i="3"/>
  <c r="I15" i="3"/>
  <c r="K15" i="3" s="1"/>
  <c r="H9" i="3"/>
  <c r="I12" i="3"/>
  <c r="K12" i="3" s="1"/>
  <c r="J18" i="2"/>
  <c r="E7" i="2"/>
  <c r="K7" i="2" s="1"/>
  <c r="E15" i="2"/>
  <c r="K15" i="2" s="1"/>
  <c r="E6" i="2"/>
  <c r="K6" i="2" s="1"/>
  <c r="E13" i="2"/>
  <c r="K13" i="2" s="1"/>
  <c r="I17" i="2"/>
  <c r="E5" i="2"/>
  <c r="E12" i="2"/>
  <c r="K12" i="2" s="1"/>
  <c r="J14" i="2"/>
  <c r="B17" i="2"/>
  <c r="C17" i="2"/>
  <c r="J17" i="2" s="1"/>
  <c r="J5" i="2"/>
  <c r="O87" i="5" l="1"/>
  <c r="H18" i="4"/>
  <c r="H17" i="4"/>
  <c r="J17" i="4"/>
  <c r="I17" i="4"/>
  <c r="K17" i="4" s="1"/>
  <c r="I18" i="4"/>
  <c r="K18" i="4" s="1"/>
  <c r="H17" i="3"/>
  <c r="H18" i="3"/>
  <c r="I18" i="3"/>
  <c r="K18" i="3" s="1"/>
  <c r="K5" i="3"/>
  <c r="E17" i="2"/>
  <c r="K5" i="2"/>
  <c r="E18" i="2"/>
  <c r="K18" i="2" s="1"/>
  <c r="K17" i="2"/>
</calcChain>
</file>

<file path=xl/sharedStrings.xml><?xml version="1.0" encoding="utf-8"?>
<sst xmlns="http://schemas.openxmlformats.org/spreadsheetml/2006/main" count="790" uniqueCount="149">
  <si>
    <t>แบบฟอร์ม 3.1(1)</t>
  </si>
  <si>
    <t xml:space="preserve">บันทึกปริมาณการใช้กระดาษ </t>
  </si>
  <si>
    <t>เดือน</t>
  </si>
  <si>
    <t>ปริมาณการใช้กระดาษปี 2568</t>
  </si>
  <si>
    <t>ปริมาณการใช้กระดาษปี 2569</t>
  </si>
  <si>
    <t>ร้อยละปริมาณการใช้กระดาษ</t>
  </si>
  <si>
    <t>จำนวนคน</t>
  </si>
  <si>
    <t xml:space="preserve"> (รีม)ปี2568</t>
  </si>
  <si>
    <t>ค่ากระดาษ/เดือน (บาท)</t>
  </si>
  <si>
    <t>(รีม/คน) ปี2568</t>
  </si>
  <si>
    <t>(รีม) ปี 2569</t>
  </si>
  <si>
    <t>(รีม/คน) ปี 2569</t>
  </si>
  <si>
    <t>(รีม)ปี2569</t>
  </si>
  <si>
    <t>(รีม/คน)ปี2569</t>
  </si>
  <si>
    <t>ม.ค.</t>
  </si>
  <si>
    <t>ก.พ.</t>
  </si>
  <si>
    <t>-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</si>
  <si>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</si>
  <si>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</si>
  <si>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</si>
  <si>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</si>
  <si>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</si>
  <si>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</si>
  <si>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</si>
  <si>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</si>
  <si>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</si>
  <si>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</si>
  <si>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เฉลี่ย</t>
  </si>
  <si>
    <t>รวม</t>
  </si>
  <si>
    <t>สรุปปริมาณการใช้กระดาษ
1. การปริมาณกระดาษสะสมตั้งแต่เดือน มกราคม ถึง ….............ปี 2569 เท่ากับ …......... รีม ลดลงจาก ปี 25….ในช่วงเวลาเดียวกัน เท่ากับ …............. รีม  คิดเป็น …...... %
2. การปริมาณกระดาษต่อคนสะสมตั้งแต่เดือน มกราคม ถึง ….............ปี 2569 เท่ากับ …......... รีม/คน ลดลงจาก ปี 25….ในช่วงเวลาเดียวกัน เท่ากับ …......... รีม/คน  คิดเป็น …...... %
3. การปริมาณกระดาษเฉลี่ยตั้งแต่เดือน มกราคม ถึง ….............ปี 2569 เท่ากับ …......... รีม ลดลงจาก ปี 25….ในช่วงเวลาเดียวกัน เท่ากับ …............. รีม  คิดเป็น …...... %
4. การปริมาณกระดาษต่อคนเฉลี่ยตั้งแต่เดือน มกราคม ถึง ….............ปี 2569 เท่ากับ …......... รีม/คน ลดลงจาก ปี 25….ในช่วงเวลาเดียวกัน เท่ากับ ….......... รีม/คน  คิดเป็น …...... %</t>
  </si>
  <si>
    <t>บรรลุเป้าหมาย</t>
  </si>
  <si>
    <t>ไม่บรรลุเป้าหมาย</t>
  </si>
  <si>
    <t>การวิเคราะห์ข้อมูลและสาเหตุ (เป้าหมาย : การใช้กระดาษลดลง ….............% จากปี 2569)</t>
  </si>
  <si>
    <t xml:space="preserve">เดือนมกราคม 2569           </t>
  </si>
  <si>
    <t>รายละเอียด :</t>
  </si>
  <si>
    <t>วิเคราะห์สาเหตุ :</t>
  </si>
  <si>
    <t>แนวทางจัดการ :</t>
  </si>
  <si>
    <t xml:space="preserve">เดือนกุมภาพันธ์ 2569      </t>
  </si>
  <si>
    <t xml:space="preserve">เดือนมีนาคม 2569        </t>
  </si>
  <si>
    <t xml:space="preserve">เดือนเมษายน 2569        </t>
  </si>
  <si>
    <t xml:space="preserve">เดือนพฤษภาคม 2569        </t>
  </si>
  <si>
    <t xml:space="preserve">เดือนมิถุนายน 2569        </t>
  </si>
  <si>
    <t>เดือนกรกฎาคม 2569</t>
  </si>
  <si>
    <t xml:space="preserve">เดือนสิงหาคม 2569      </t>
  </si>
  <si>
    <t xml:space="preserve">เดือนกันยายน 2569        </t>
  </si>
  <si>
    <t xml:space="preserve">เดือนตุลาคม 2569        </t>
  </si>
  <si>
    <t xml:space="preserve">เดือนพฤศจิกายน 2569        </t>
  </si>
  <si>
    <t xml:space="preserve">เดือนธันวาคม 2569        </t>
  </si>
  <si>
    <t>แบบฟอร์ม 3.2(1)</t>
  </si>
  <si>
    <t>บันทึกปริมาณการใช้กระดาษ</t>
  </si>
  <si>
    <t>ปริมาณการใช้กระดาษปี 2567</t>
  </si>
  <si>
    <t xml:space="preserve"> (กิโลกรัม) ปี2567</t>
  </si>
  <si>
    <t>(กิโลกรัม/คน) ปี2567</t>
  </si>
  <si>
    <t>(กิโลกรัม) ปี 2568</t>
  </si>
  <si>
    <t>(กิโลกรัม/คน)ปี 2568</t>
  </si>
  <si>
    <t>(หน่วย)ปี2568</t>
  </si>
  <si>
    <t>(หน่วย/คน)ปี2568</t>
  </si>
  <si>
    <r>
      <rPr>
        <b/>
        <sz val="16"/>
        <color rgb="FF000000"/>
        <rFont val="Cordia New"/>
      </rPr>
      <t xml:space="preserve">สรุปปริมาณการใช้กระดาษ
</t>
    </r>
    <r>
      <rPr>
        <sz val="16"/>
        <color rgb="FF000000"/>
        <rFont val="Cordia New"/>
      </rPr>
      <t>1. ปริมาณการใช้กระดาษสะสมตั้งแต่เดือน มกราคม ถึง เดือน มิถุนายน ปี 2567 เท่ากับ 1069 กิโลกรัม เพิ่มขึ้นจาก</t>
    </r>
    <r>
      <rPr>
        <sz val="16"/>
        <color rgb="FFFF0000"/>
        <rFont val="Cordia New"/>
      </rPr>
      <t xml:space="preserve"> </t>
    </r>
    <r>
      <rPr>
        <sz val="16"/>
        <color rgb="FF000000"/>
        <rFont val="Cordia New"/>
      </rPr>
      <t>ปี 2566 ในช่วงเวลาเดียวกัน เท่ากับ 793.8  คิดเป็น 25.74%
2. ปริมาณกระดาษต่อคนสะสมตั้งแต่เดือน มกราคม ถึง เดือน มิถุนายน ปี 2567 เท่ากับ 11.3 กิโลกรัม/คน เพิ่มขึ้นจาก ปี 2566 ในช่วงเวลาเดียวกัน เท่ากับ 8.45 กิโลกรัม/คน  คิดเป็น 25.22%
3. ปริมาณการใช้กระดาษเฉลี่ยตั้งแต่เดือน มกราคม ถึง เดือน มิถุนายน ปี 2567 เท่ากับ 178.2 กิโลกรัม เพิ่มขึ้นจาก ปี 2566 ในช่วงเวลาเดียวกัน เท่ากับ 132.3  คิดเป็น 25.74%
4. ปริมาณกระดาษต่อคนเฉลี่ยตั้งแต่เดือน มกราคม ถึง เดือน มิถุนายน ปี 2567 เท่ากับ 1.88 กิโลกรัม/คน เพิ่มขึ้นจาก ปี 2566 ในช่วงเวลาเดียวกัน เท่ากับ 1.41 กิโลกรัม/คน  คิดเป็น 25.22%</t>
    </r>
  </si>
  <si>
    <t>การวิเคราะห์ข้อมูลและสาเหตุ (เป้าหมาย : การใช้กระดาษลดลง 1% จากปี 2567)</t>
  </si>
  <si>
    <t>เดือนมกราคม 2568</t>
  </si>
  <si>
    <t>รายละเอียด : ผลการใช้กระดาษ ประจำเดือน มกราคม 2568 พบว่า ปริมาณการใช้กระดาษ ลดลง เมื่อเทียบกับปี 2567 จำนวน 8.1 กิโลกรัม/คน เมื่อคิดเป็นเปอร์เซ็นต์/คน จะลดลงเท่ากับ -4.0%</t>
  </si>
  <si>
    <t xml:space="preserve">วิเคราะห์สาเหตุ : </t>
  </si>
  <si>
    <t>เนื่องจากบุคคลากรให้ความร่วมมือลดการใช้กระดาษ และใช้กระดาษReuseเพิ่มมากขึ้น</t>
  </si>
  <si>
    <t xml:space="preserve">เดือนกุมภาพันธ์ 2568      </t>
  </si>
  <si>
    <t>รายละเอียด : ผลการใช้กระดาษ ประจำเดือน กุมภาพันธ์ 2568 พบว่า ปริมาณการใช้กระดาษ ลดลง เมื่อเทียบกับปี 2567 จำนวน 51.3 กิโลกรัม/คน เมื่อคิดเป็นเปอร์เซ็นต์/คน จะลดลงเท่ากับ -22.6%</t>
  </si>
  <si>
    <t xml:space="preserve">เดือนมีนาคม 2568       </t>
  </si>
  <si>
    <t>รายละเอียด : ผลการใช้กระดาษ ประจำเดือน มีนาคม 2568 พบว่า ปริมาณการใช้กระดาษ เพิ่มขึ้น เมื่อเทียบกับปี 2567 จำนวน 21.6 กิโลกรัม/คน เมื่อคิดเป็นเปอร์เซ็นต์/คน จะเพิ่มขึ้นเท่ากับ 9.6%</t>
  </si>
  <si>
    <t>เนื่องจากมีการจัดทำเอกสารอบรม และเอกสารตรวจประเมินและส่งงานวิจัยภายในหน่วยงาน</t>
  </si>
  <si>
    <t>กำหนดมาตรการการใช้กระดาษReuseเพิ่มมากขึ้น</t>
  </si>
  <si>
    <t xml:space="preserve">เดือนเมษายน 2568        </t>
  </si>
  <si>
    <t>รายละเอียด : ผลการใช้กระดาษ ประจำเดือน เมษายน 2568 พบว่า ปริมาณการใช้กระดาษ เพิ่มขึ้น เมื่อเทียบกับปี 2567 จำนวน 97.2 กิโลกรัม/คน เมื่อคิดเป็นเปอร์เซ็นต์/คน จะเพิ่มขึ้นเท่ากับ 105.9%</t>
  </si>
  <si>
    <t xml:space="preserve">เดือนพฤษภาคม 2568        </t>
  </si>
  <si>
    <t>รายละเอียด : ผลการใช้กระดาษ ประจำเดือน พฤษภาคม 2568 พบว่า ปริมาณการใช้กระดาษ ลดลง เมื่อเทียบกับปี 2567 จำนวน 24.28 กิโลกรัม/คน เมื่อคิดเป็นเปอร์เซ็นต์/คน จะลดลงเท่ากับ -16.1%</t>
  </si>
  <si>
    <t xml:space="preserve">เดือนมิถุนายน 2568        </t>
  </si>
  <si>
    <t>รายละเอียด : ผลการใช้กระดาษ ประจำเดือน มิถุนายน 2568 พบว่า ปริมาณการใช้กระดาษ เพิ่มขึ้น เมื่อเทียบกับปี 2567 จำนวน 10.8 กิโลกรัม เมื่อคิดเป็นเปอร์เซ็นต์/คน จะเพิ่มขึ้นเท่ากับ 6.2%</t>
  </si>
  <si>
    <t>เดือนกรกฎาคม 2568</t>
  </si>
  <si>
    <t>รายละเอียด : ผลการใช้กระดาษ ประจำเดือน กรกฎาคม 2568 พบว่า ปริมาณการใช้กระดาษ เพิ่มขึ้น เมื่อเทียบกับปี 2567 จำนวน 27.0 กิโลกรัม/คน เมื่อคิดเป็นเปอร์เซ็นต์/คน จะเพิ่มขึ้นเท่ากับ 20.4%</t>
  </si>
  <si>
    <t xml:space="preserve">เดือนสิงหาคม 2568      </t>
  </si>
  <si>
    <t>รายละเอียด : ผลการใช้กระดาษ ประจำเดือน สิงหาคม 2568 พบว่า ปริมาณการใช้กระดาษ เพิ่มขึ้น เมื่อเทียบกับปี 2567 จำนวน 39.15 กิโลกรัม/คน เมื่อคิดเป็นเปอร์เซ็นต์/คน จะเพิ่มขึ้นเท่ากับ 23.4%</t>
  </si>
  <si>
    <t xml:space="preserve">เดือนกันยายน 2568        </t>
  </si>
  <si>
    <t>รายละเอียด : ผลการใช้กระดาษ ประจำเดือน กันยายน 2568 พบว่า ปริมาณการใช้กระดาษ ลดลง เมื่อเทียบกับปี 2567 จำนวน 33.75 กิโลกรัม/คน เมื่อคิดเป็นเปอร์เซ็นต์/คน จะลดลงเท่ากับ -21.9%</t>
  </si>
  <si>
    <t xml:space="preserve">เดือนตุลาคม 2568        </t>
  </si>
  <si>
    <t>รายละเอียด : ผลการใช้กระดาษ ประจำเดือน ตุลาคม 2568 พบว่า ปริมาณการใช้กระดาษ ลดลง เมื่อเทียบกับปี 2567 จำนวน 94.5 กิโลกรัม/คน เมื่อคิดเป็นเปอร์เซ็นต์/คน จะลดลงเท่ากับ -57.4%</t>
  </si>
  <si>
    <t xml:space="preserve">เดือนพฤศจิกายน 2568        </t>
  </si>
  <si>
    <t>รายละเอียด : ผลการใช้กระดาษ ประจำเดือน พฤศจิกายน 2568 พบว่า ปริมาณการใช้กระดาษ ลดลง เมื่อเทียบกับปี 2567 จำนวน 110.7 กิโลกรัม/คน เมื่อคิดเป็นเปอร์เซ็นต์/คน จะลดลงเท่ากับ -60.3%</t>
  </si>
  <si>
    <t xml:space="preserve">เดือนธันวาคม 2568        </t>
  </si>
  <si>
    <t>รายละเอียด : ผลการใช้กระดาษ ประจำเดือน ธันวาคม 2568 พบว่า ปริมาณการใช้กระดาษ ลดลง เมื่อเทียบกับปี 2567 จำนวน 178.2 กิโลกรัม/คน เมื่อคิดเป็นเปอร์เซ็นต์/คน จะลดลงเท่ากับ -84.6%</t>
  </si>
  <si>
    <t>ปริมาณการใช้กระดาษปี 2566</t>
  </si>
  <si>
    <t xml:space="preserve"> (กิโลกรัม) ปี2566</t>
  </si>
  <si>
    <t>(กิโลกรัม/คน) ปี2566</t>
  </si>
  <si>
    <t>(กิโลกรัม) ปี 2567</t>
  </si>
  <si>
    <t>(กิโลกรัม/คน)ปี 2567</t>
  </si>
  <si>
    <t>(หน่วย)ปี2567</t>
  </si>
  <si>
    <t>(หน่วย/คน)ปี2567</t>
  </si>
  <si>
    <t>การวิเคราะห์ข้อมูลและสาเหตุ (เป้าหมาย : การใช้กระดาษลดลง 1% จากปี 2566)</t>
  </si>
  <si>
    <t>เดือนมกราคม 2567</t>
  </si>
  <si>
    <t>ผลการใช้กระดาษ ประจำเดือน มกราคม 2567 พบว่า ปริมาณการใช้กระดาษ เพิ่มขึ้น เมื่อเทียบกับปี 2566 จำนวน 97.2 กิโลกรัม/คน เมื่อคิดเป็นเปอร์เซ็นต์/คน จะเพิ่มขึ้นเท่ากับ 92.3%</t>
  </si>
  <si>
    <t>เนื่องจากมีการจัดทำเอกสารตรวจประเมินและส่งงานวิจัยภายในหน่วยงาน</t>
  </si>
  <si>
    <t xml:space="preserve">เดือนกุมภาพันธ์ 2567      </t>
  </si>
  <si>
    <t>รายละเอียด : ผลการใช้กระดาษ ประจำเดือน กุมภาพันธ์ 2567 พบว่า ปริมาณการใช้กระดาษ เพิ่มขึ้น เมื่อเทียบกับปี 2566 จำนวน 64.8 กิโลกรัม/คน เมื่อคิดเป็นเปอร์เซ็นต์/คน จะเพิ่มขึ้นเท่ากับ 40.0%</t>
  </si>
  <si>
    <t xml:space="preserve">เดือนมีนาคม 2567        </t>
  </si>
  <si>
    <t>รายละเอียด : ผลการใช้กระดาษ ประจำเดือน มีนาคม 2567 พบว่า ปริมาณการใช้กระดาษ เพิ่มขึ้น เมื่อเทียบกับปี 2566 จำนวน 51.3 กิโลกรัม/คน เมื่อคิดเป็นเปอร์เซ็นต์/คน จะเพิ่มขึ้นเท่ากับ 29.7%</t>
  </si>
  <si>
    <t xml:space="preserve">เดือนเมษายน 2567        </t>
  </si>
  <si>
    <t>รายละเอียด : ผลการใช้กระดาษ ประจำเดือน เมษายน 2567 พบว่า ปริมาณการใช้กระดาษ ลดลง เมื่อเทียบกับปี 2566 จำนวน 24.3 กิโลกรัม/คน เมื่อคิดเป็นเปอร์เซ็นต์/คน จะลดลงเท่ากับ -20.9%</t>
  </si>
  <si>
    <t xml:space="preserve">เดือนพฤษภาคม 2567        </t>
  </si>
  <si>
    <t>รายละเอียด : ผลการใช้กระดาษ ประจำเดือน พฤษภาคม 2567 พบว่า ปริมาณการใช้กระดาษ เพิ่มขึ้น เมื่อเทียบกับปี 2566 จำนวน 18.9 กิโลกรัม/คน เมื่อคิดเป็นเปอร์เซ็นต์/คน จะเพิ่มขึ้นเท่ากับ 14.3%</t>
  </si>
  <si>
    <t xml:space="preserve">เดือนมิถุนายน 2567        </t>
  </si>
  <si>
    <t>รายละเอียด : ผลการใช้กระดาษ ประจำเดือน มิถุนายน 2567 พบว่า ปริมาณการใช้กระดาษ เพิ่มขึ้น เมื่อเทียบกับปี 2566 จำนวน 67.5 กิโลกรัม เมื่อคิดเป็นเปอร์เซ็นต์/คน จะเพิ่มขึ้นเท่ากับ 61.4%</t>
  </si>
  <si>
    <t>เดือนกรกฎาคม 2567</t>
  </si>
  <si>
    <t>รายละเอียด : ผลการใช้กระดาษ ประจำเดือน กรกฎาคม 2567 พบว่า ปริมาณการใช้กระดาษ เพิ่มขึ้น เมื่อเทียบกับปี 2566 จำนวน 24.3 กิโลกรัม/คน เมื่อคิดเป็นเปอร์เซ็นต์/คน จะเพิ่มขึ้นเท่ากับ 22.5%</t>
  </si>
  <si>
    <t xml:space="preserve">เดือนสิงหาคม 2567      </t>
  </si>
  <si>
    <t>รายละเอียด : ผลการใช้กระดาษ ประจำเดือน สิงหาคม 2567 พบว่า ปริมาณการใช้กระดาษ ลดลง เมื่อเทียบกับปี 2566 จำนวน 2.7 กิโลกรัม/คน เมื่อคิดเป็นเปอร์เซ็นต์/คน จะลดลงเท่ากับ -1.6%</t>
  </si>
  <si>
    <t xml:space="preserve">เดือนกันยายน 2567        </t>
  </si>
  <si>
    <t>รายละเอียด : ผลการใช้กระดาษ ประจำเดือน กันยายน 2567 พบว่า ปริมาณการใช้กระดาษ เพิ่มขึ้น เมื่อเทียบกับปี 2566 จำนวน 13.5 กิโลกรัม/คน เมื่อคิดเป็นเปอร์เซ็นต์/คน จะเพิ่มขึ้นเท่ากับ 9.6%</t>
  </si>
  <si>
    <t xml:space="preserve">เดือนตุลาคม 2567        </t>
  </si>
  <si>
    <t>รายละเอียด : ผลการใช้กระดาษ ประจำเดือน ตุลาคม 2567 พบว่า ปริมาณการใช้กระดาษ ลดลง เมื่อเทียบกับปี 2566 จำนวน 24.3 กิโลกรัม/คน เมื่อคิดเป็นเปอร์เซ็นต์/คน จะลดลงเท่ากับ -12.9%</t>
  </si>
  <si>
    <t xml:space="preserve">เดือนพฤศจิกายน 2567        </t>
  </si>
  <si>
    <t>รายละเอียด : ผลการใช้กระดาษ ประจำเดือน พฤศจิกายน 2567 พบว่า ปริมาณการใช้กระดาษ ลดลง เมื่อเทียบกับปี 2566 จำนวน 140.4 กิโลกรัม/คน เมื่อคิดเป็นเปอร์เซ็นต์/คน จะลดลงเท่ากับ -46.0%</t>
  </si>
  <si>
    <t xml:space="preserve">เดือนธันวาคม 2567        </t>
  </si>
  <si>
    <t>รายละเอียด : ผลการใช้กระดาษ ประจำเดือน ธันวาคม 2567 พบว่า ปริมาณการใช้กระดาษ ลดลง เมื่อเทียบกับปี 2566 จำนวน 202.5 กิโลกรัม/คน เมื่อคิดเป็นเปอร์เซ็นต์/คน จะลดลงเท่ากับ -53.6%</t>
  </si>
  <si>
    <t>ปี</t>
  </si>
  <si>
    <t>iqs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</si>
  <si>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</si>
  <si>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</si>
  <si>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</si>
  <si>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</si>
  <si>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</si>
  <si>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</si>
  <si>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</si>
  <si>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</si>
  <si>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</si>
  <si>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</si>
  <si>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</si>
  <si>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</si>
  <si>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สำนักงาน</t>
  </si>
  <si>
    <t>ห้องปฏิบัติการ</t>
  </si>
  <si>
    <t>โครงการ</t>
  </si>
  <si>
    <t>จุลินทรีย์</t>
  </si>
  <si>
    <t>รวมริม</t>
  </si>
  <si>
    <t>รวมกิโลกรัม</t>
  </si>
  <si>
    <t>สำนักวิจัย</t>
  </si>
  <si>
    <t>โครงการข้าว</t>
  </si>
  <si>
    <t>ICAP</t>
  </si>
  <si>
    <t>สมุนไพร</t>
  </si>
  <si>
    <t>ฝ่าย</t>
  </si>
  <si>
    <t>อาคาร</t>
  </si>
  <si>
    <t>IQS</t>
  </si>
  <si>
    <t>ICAPS</t>
  </si>
  <si>
    <t>บันทึกปริมาณการใช้กระดาษ Reuse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</si>
</sst>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.0%"/>
    <numFmt numFmtId="188" formatCode="0.0"/>
  </numFmts>
  <fonts count="28" x14ac:knownFonts="1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b/>
      <sz val="18"/>
      <name val="Cordia New"/>
      <family val="2"/>
    </font>
    <font>
      <sz val="10"/>
      <name val="Cordia New"/>
      <family val="2"/>
    </font>
    <font>
      <b/>
      <sz val="16"/>
      <name val="Cordia New"/>
      <family val="2"/>
    </font>
    <font>
      <b/>
      <sz val="20"/>
      <name val="Cordia New"/>
      <family val="2"/>
    </font>
    <font>
      <b/>
      <sz val="10"/>
      <name val="Cordia New"/>
      <family val="2"/>
    </font>
    <font>
      <sz val="16"/>
      <name val="Cordia New"/>
      <family val="2"/>
    </font>
    <font>
      <sz val="10"/>
      <name val="Arial"/>
      <charset val="222"/>
    </font>
    <font>
      <b/>
      <sz val="20"/>
      <name val="Cordia New"/>
      <family val="2"/>
      <charset val="222"/>
    </font>
    <font>
      <b/>
      <sz val="18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b/>
      <sz val="16"/>
      <color rgb="FFFF0000"/>
      <name val="Cordia New"/>
      <family val="2"/>
    </font>
    <font>
      <sz val="16"/>
      <name val="Cordia New"/>
    </font>
    <font>
      <b/>
      <sz val="16"/>
      <color rgb="FF000000"/>
      <name val="Cordia New"/>
    </font>
    <font>
      <sz val="16"/>
      <color rgb="FF000000"/>
      <name val="Cordia New"/>
    </font>
    <font>
      <sz val="16"/>
      <color rgb="FFFF0000"/>
      <name val="Cordia New"/>
    </font>
    <font>
      <sz val="18"/>
      <name val="Cordia New"/>
      <family val="2"/>
    </font>
    <font>
      <sz val="1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0"/>
      <name val="Arial"/>
      <charset val="1"/>
    </font>
    <font>
      <sz val="11"/>
      <color rgb="FF7030A0"/>
      <name val="Arial"/>
      <charset val="1"/>
    </font>
    <font>
      <sz val="10"/>
      <color rgb="FF7030A0"/>
      <name val="Arial"/>
      <charset val="1"/>
    </font>
    <font>
      <b/>
      <sz val="11"/>
      <color rgb="FFFF0000"/>
      <name val="Arial"/>
      <charset val="1"/>
    </font>
    <font>
      <b/>
      <sz val="11"/>
      <color rgb="FF7030A0"/>
      <name val="Arial"/>
      <charset val="1"/>
    </font>
    <font>
      <b/>
      <sz val="11"/>
      <color rgb="FF00206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CCCCCC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150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6" fillId="2" borderId="0" xfId="1" applyFont="1" applyFill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/>
    </xf>
    <xf numFmtId="43" fontId="7" fillId="3" borderId="1" xfId="2" applyFont="1" applyFill="1" applyBorder="1"/>
    <xf numFmtId="43" fontId="7" fillId="2" borderId="1" xfId="2" applyFont="1" applyFill="1" applyBorder="1"/>
    <xf numFmtId="43" fontId="7" fillId="4" borderId="1" xfId="2" applyFont="1" applyFill="1" applyBorder="1"/>
    <xf numFmtId="187" fontId="7" fillId="2" borderId="2" xfId="3" applyNumberFormat="1" applyFont="1" applyFill="1" applyBorder="1" applyAlignment="1">
      <alignment horizontal="center" vertical="center" wrapText="1"/>
    </xf>
    <xf numFmtId="187" fontId="7" fillId="2" borderId="1" xfId="3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/>
    </xf>
    <xf numFmtId="188" fontId="7" fillId="2" borderId="0" xfId="1" applyNumberFormat="1" applyFont="1" applyFill="1"/>
    <xf numFmtId="0" fontId="7" fillId="2" borderId="0" xfId="1" applyFont="1" applyFill="1"/>
    <xf numFmtId="0" fontId="6" fillId="2" borderId="0" xfId="1" applyFont="1" applyFill="1" applyAlignment="1">
      <alignment horizontal="center"/>
    </xf>
    <xf numFmtId="0" fontId="7" fillId="0" borderId="0" xfId="1" applyFont="1" applyAlignment="1">
      <alignment horizontal="left" vertical="top" wrapText="1"/>
    </xf>
    <xf numFmtId="0" fontId="7" fillId="2" borderId="0" xfId="4" applyFont="1" applyFill="1" applyAlignment="1">
      <alignment horizontal="left" vertical="center" wrapText="1"/>
    </xf>
    <xf numFmtId="0" fontId="3" fillId="2" borderId="0" xfId="4" applyFont="1" applyFill="1" applyAlignment="1">
      <alignment vertical="center"/>
    </xf>
    <xf numFmtId="0" fontId="9" fillId="2" borderId="0" xfId="4" applyFont="1" applyFill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9" fillId="5" borderId="0" xfId="4" applyFont="1" applyFill="1" applyAlignment="1">
      <alignment vertical="center"/>
    </xf>
    <xf numFmtId="0" fontId="11" fillId="2" borderId="0" xfId="1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11" fillId="2" borderId="0" xfId="4" applyFont="1" applyFill="1" applyAlignment="1">
      <alignment vertical="center" wrapText="1"/>
    </xf>
    <xf numFmtId="0" fontId="11" fillId="2" borderId="0" xfId="4" applyFont="1" applyFill="1" applyAlignment="1">
      <alignment vertical="center"/>
    </xf>
    <xf numFmtId="0" fontId="12" fillId="2" borderId="0" xfId="4" applyFont="1" applyFill="1" applyAlignment="1">
      <alignment vertical="center" wrapText="1"/>
    </xf>
    <xf numFmtId="0" fontId="12" fillId="2" borderId="0" xfId="4" applyFont="1" applyFill="1" applyAlignment="1">
      <alignment vertical="center" wrapText="1"/>
    </xf>
    <xf numFmtId="0" fontId="11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 wrapText="1"/>
    </xf>
    <xf numFmtId="2" fontId="11" fillId="2" borderId="0" xfId="4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0" fontId="11" fillId="2" borderId="0" xfId="1" applyFont="1" applyFill="1"/>
    <xf numFmtId="187" fontId="7" fillId="2" borderId="2" xfId="5" applyNumberFormat="1" applyFont="1" applyFill="1" applyBorder="1" applyAlignment="1">
      <alignment horizontal="center" vertical="center" wrapText="1"/>
    </xf>
    <xf numFmtId="187" fontId="7" fillId="2" borderId="1" xfId="5" applyNumberFormat="1" applyFont="1" applyFill="1" applyBorder="1" applyAlignment="1">
      <alignment horizontal="center" vertical="center" wrapText="1"/>
    </xf>
    <xf numFmtId="43" fontId="13" fillId="2" borderId="1" xfId="2" applyFont="1" applyFill="1" applyBorder="1"/>
    <xf numFmtId="0" fontId="14" fillId="0" borderId="0" xfId="1" applyFont="1" applyAlignment="1">
      <alignment horizontal="left" vertical="top" wrapText="1"/>
    </xf>
    <xf numFmtId="0" fontId="18" fillId="2" borderId="0" xfId="1" applyFont="1" applyFill="1"/>
    <xf numFmtId="0" fontId="10" fillId="3" borderId="0" xfId="4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0" fontId="12" fillId="2" borderId="0" xfId="1" applyFont="1" applyFill="1" applyAlignment="1">
      <alignment vertical="center"/>
    </xf>
    <xf numFmtId="0" fontId="11" fillId="2" borderId="0" xfId="1" applyFont="1" applyFill="1" applyAlignment="1">
      <alignment vertical="center" wrapText="1"/>
    </xf>
    <xf numFmtId="0" fontId="12" fillId="2" borderId="0" xfId="1" applyFont="1" applyFill="1" applyAlignment="1">
      <alignment vertical="center" wrapText="1"/>
    </xf>
    <xf numFmtId="0" fontId="11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2" fontId="11" fillId="2" borderId="0" xfId="1" applyNumberFormat="1" applyFont="1" applyFill="1" applyAlignment="1">
      <alignment vertical="center"/>
    </xf>
    <xf numFmtId="0" fontId="19" fillId="0" borderId="3" xfId="4" applyFont="1" applyBorder="1" applyAlignment="1">
      <alignment readingOrder="1"/>
    </xf>
    <xf numFmtId="0" fontId="19" fillId="0" borderId="4" xfId="4" applyFont="1" applyBorder="1" applyAlignment="1">
      <alignment readingOrder="1"/>
    </xf>
    <xf numFmtId="0" fontId="19" fillId="0" borderId="5" xfId="4" applyFont="1" applyBorder="1" applyAlignment="1">
      <alignment readingOrder="1"/>
    </xf>
    <xf numFmtId="0" fontId="19" fillId="0" borderId="6" xfId="4" applyFont="1" applyBorder="1" applyAlignment="1">
      <alignment readingOrder="1"/>
    </xf>
    <xf numFmtId="0" fontId="8" fillId="0" borderId="0" xfId="4"/>
    <xf numFmtId="0" fontId="20" fillId="6" borderId="7" xfId="4" applyFont="1" applyFill="1" applyBorder="1" applyAlignment="1">
      <alignment readingOrder="1"/>
    </xf>
    <xf numFmtId="0" fontId="21" fillId="6" borderId="8" xfId="4" applyFont="1" applyFill="1" applyBorder="1" applyAlignment="1">
      <alignment readingOrder="1"/>
    </xf>
    <xf numFmtId="0" fontId="19" fillId="0" borderId="9" xfId="4" applyFont="1" applyBorder="1" applyAlignment="1">
      <alignment readingOrder="1"/>
    </xf>
    <xf numFmtId="0" fontId="19" fillId="0" borderId="10" xfId="4" applyFont="1" applyBorder="1" applyAlignment="1">
      <alignment readingOrder="1"/>
    </xf>
    <xf numFmtId="0" fontId="20" fillId="6" borderId="11" xfId="4" applyFont="1" applyFill="1" applyBorder="1" applyAlignment="1">
      <alignment readingOrder="1"/>
    </xf>
    <xf numFmtId="0" fontId="20" fillId="6" borderId="8" xfId="4" applyFont="1" applyFill="1" applyBorder="1" applyAlignment="1">
      <alignment readingOrder="1"/>
    </xf>
    <xf numFmtId="0" fontId="20" fillId="6" borderId="12" xfId="4" applyFont="1" applyFill="1" applyBorder="1" applyAlignment="1">
      <alignment readingOrder="1"/>
    </xf>
    <xf numFmtId="0" fontId="19" fillId="6" borderId="8" xfId="4" applyFont="1" applyFill="1" applyBorder="1" applyAlignment="1">
      <alignment readingOrder="1"/>
    </xf>
    <xf numFmtId="0" fontId="20" fillId="6" borderId="13" xfId="4" applyFont="1" applyFill="1" applyBorder="1" applyAlignment="1">
      <alignment readingOrder="1"/>
    </xf>
    <xf numFmtId="0" fontId="19" fillId="6" borderId="7" xfId="4" applyFont="1" applyFill="1" applyBorder="1" applyAlignment="1">
      <alignment readingOrder="1"/>
    </xf>
    <xf numFmtId="0" fontId="19" fillId="6" borderId="14" xfId="4" applyFont="1" applyFill="1" applyBorder="1" applyAlignment="1">
      <alignment readingOrder="1"/>
    </xf>
    <xf numFmtId="0" fontId="19" fillId="6" borderId="15" xfId="4" applyFont="1" applyFill="1" applyBorder="1" applyAlignment="1">
      <alignment readingOrder="1"/>
    </xf>
    <xf numFmtId="0" fontId="19" fillId="0" borderId="14" xfId="4" applyFont="1" applyBorder="1" applyAlignment="1">
      <alignment readingOrder="1"/>
    </xf>
    <xf numFmtId="0" fontId="19" fillId="0" borderId="15" xfId="4" applyFont="1" applyBorder="1" applyAlignment="1">
      <alignment readingOrder="1"/>
    </xf>
    <xf numFmtId="0" fontId="20" fillId="7" borderId="7" xfId="4" applyFont="1" applyFill="1" applyBorder="1" applyAlignment="1">
      <alignment readingOrder="1"/>
    </xf>
    <xf numFmtId="0" fontId="21" fillId="7" borderId="8" xfId="4" applyFont="1" applyFill="1" applyBorder="1" applyAlignment="1">
      <alignment readingOrder="1"/>
    </xf>
    <xf numFmtId="0" fontId="20" fillId="7" borderId="11" xfId="4" applyFont="1" applyFill="1" applyBorder="1" applyAlignment="1">
      <alignment readingOrder="1"/>
    </xf>
    <xf numFmtId="0" fontId="19" fillId="7" borderId="8" xfId="4" applyFont="1" applyFill="1" applyBorder="1" applyAlignment="1">
      <alignment readingOrder="1"/>
    </xf>
    <xf numFmtId="0" fontId="20" fillId="7" borderId="8" xfId="4" applyFont="1" applyFill="1" applyBorder="1" applyAlignment="1">
      <alignment readingOrder="1"/>
    </xf>
    <xf numFmtId="0" fontId="20" fillId="7" borderId="12" xfId="4" applyFont="1" applyFill="1" applyBorder="1" applyAlignment="1">
      <alignment readingOrder="1"/>
    </xf>
    <xf numFmtId="0" fontId="20" fillId="7" borderId="13" xfId="4" applyFont="1" applyFill="1" applyBorder="1" applyAlignment="1">
      <alignment readingOrder="1"/>
    </xf>
    <xf numFmtId="0" fontId="19" fillId="7" borderId="7" xfId="4" applyFont="1" applyFill="1" applyBorder="1" applyAlignment="1">
      <alignment readingOrder="1"/>
    </xf>
    <xf numFmtId="0" fontId="19" fillId="7" borderId="14" xfId="4" applyFont="1" applyFill="1" applyBorder="1" applyAlignment="1">
      <alignment readingOrder="1"/>
    </xf>
    <xf numFmtId="0" fontId="19" fillId="7" borderId="15" xfId="4" applyFont="1" applyFill="1" applyBorder="1" applyAlignment="1">
      <alignment readingOrder="1"/>
    </xf>
    <xf numFmtId="4" fontId="20" fillId="7" borderId="8" xfId="4" applyNumberFormat="1" applyFont="1" applyFill="1" applyBorder="1" applyAlignment="1">
      <alignment readingOrder="1"/>
    </xf>
    <xf numFmtId="0" fontId="20" fillId="8" borderId="7" xfId="4" applyFont="1" applyFill="1" applyBorder="1" applyAlignment="1">
      <alignment readingOrder="1"/>
    </xf>
    <xf numFmtId="0" fontId="21" fillId="8" borderId="8" xfId="4" applyFont="1" applyFill="1" applyBorder="1" applyAlignment="1">
      <alignment readingOrder="1"/>
    </xf>
    <xf numFmtId="0" fontId="20" fillId="8" borderId="11" xfId="4" applyFont="1" applyFill="1" applyBorder="1" applyAlignment="1">
      <alignment readingOrder="1"/>
    </xf>
    <xf numFmtId="0" fontId="19" fillId="8" borderId="8" xfId="4" applyFont="1" applyFill="1" applyBorder="1" applyAlignment="1">
      <alignment readingOrder="1"/>
    </xf>
    <xf numFmtId="0" fontId="20" fillId="8" borderId="12" xfId="4" applyFont="1" applyFill="1" applyBorder="1" applyAlignment="1">
      <alignment readingOrder="1"/>
    </xf>
    <xf numFmtId="0" fontId="20" fillId="8" borderId="13" xfId="4" applyFont="1" applyFill="1" applyBorder="1" applyAlignment="1">
      <alignment readingOrder="1"/>
    </xf>
    <xf numFmtId="0" fontId="19" fillId="8" borderId="7" xfId="4" applyFont="1" applyFill="1" applyBorder="1" applyAlignment="1">
      <alignment readingOrder="1"/>
    </xf>
    <xf numFmtId="0" fontId="20" fillId="8" borderId="8" xfId="4" applyFont="1" applyFill="1" applyBorder="1" applyAlignment="1">
      <alignment readingOrder="1"/>
    </xf>
    <xf numFmtId="0" fontId="19" fillId="8" borderId="14" xfId="4" applyFont="1" applyFill="1" applyBorder="1" applyAlignment="1">
      <alignment readingOrder="1"/>
    </xf>
    <xf numFmtId="0" fontId="19" fillId="8" borderId="15" xfId="4" applyFont="1" applyFill="1" applyBorder="1" applyAlignment="1">
      <alignment readingOrder="1"/>
    </xf>
    <xf numFmtId="0" fontId="22" fillId="8" borderId="8" xfId="4" applyFont="1" applyFill="1" applyBorder="1" applyAlignment="1">
      <alignment readingOrder="1"/>
    </xf>
    <xf numFmtId="0" fontId="19" fillId="0" borderId="16" xfId="4" applyFont="1" applyBorder="1" applyAlignment="1">
      <alignment readingOrder="1"/>
    </xf>
    <xf numFmtId="0" fontId="19" fillId="0" borderId="17" xfId="4" applyFont="1" applyBorder="1" applyAlignment="1">
      <alignment readingOrder="1"/>
    </xf>
    <xf numFmtId="0" fontId="20" fillId="9" borderId="18" xfId="4" applyFont="1" applyFill="1" applyBorder="1" applyAlignment="1">
      <alignment horizontal="center" readingOrder="1"/>
    </xf>
    <xf numFmtId="0" fontId="21" fillId="9" borderId="19" xfId="4" applyFont="1" applyFill="1" applyBorder="1" applyAlignment="1">
      <alignment horizontal="center" vertical="center" readingOrder="1"/>
    </xf>
    <xf numFmtId="0" fontId="21" fillId="9" borderId="20" xfId="4" applyFont="1" applyFill="1" applyBorder="1" applyAlignment="1">
      <alignment horizontal="center" vertical="center" readingOrder="1"/>
    </xf>
    <xf numFmtId="0" fontId="21" fillId="9" borderId="21" xfId="4" applyFont="1" applyFill="1" applyBorder="1" applyAlignment="1">
      <alignment horizontal="center" vertical="center" readingOrder="1"/>
    </xf>
    <xf numFmtId="0" fontId="19" fillId="0" borderId="22" xfId="4" applyFont="1" applyBorder="1" applyAlignment="1">
      <alignment readingOrder="1"/>
    </xf>
    <xf numFmtId="0" fontId="20" fillId="9" borderId="23" xfId="4" applyFont="1" applyFill="1" applyBorder="1" applyAlignment="1">
      <alignment horizontal="center" readingOrder="1"/>
    </xf>
    <xf numFmtId="0" fontId="21" fillId="9" borderId="13" xfId="4" applyFont="1" applyFill="1" applyBorder="1" applyAlignment="1">
      <alignment horizontal="center" vertical="center" readingOrder="1"/>
    </xf>
    <xf numFmtId="0" fontId="23" fillId="9" borderId="8" xfId="4" applyFont="1" applyFill="1" applyBorder="1" applyAlignment="1">
      <alignment readingOrder="1"/>
    </xf>
    <xf numFmtId="0" fontId="24" fillId="9" borderId="8" xfId="4" applyFont="1" applyFill="1" applyBorder="1" applyAlignment="1">
      <alignment readingOrder="1"/>
    </xf>
    <xf numFmtId="0" fontId="23" fillId="9" borderId="24" xfId="4" applyFont="1" applyFill="1" applyBorder="1" applyAlignment="1">
      <alignment readingOrder="1"/>
    </xf>
    <xf numFmtId="0" fontId="19" fillId="9" borderId="25" xfId="4" applyFont="1" applyFill="1" applyBorder="1" applyAlignment="1">
      <alignment horizontal="center" readingOrder="1"/>
    </xf>
    <xf numFmtId="0" fontId="25" fillId="9" borderId="8" xfId="4" applyFont="1" applyFill="1" applyBorder="1" applyAlignment="1">
      <alignment readingOrder="1"/>
    </xf>
    <xf numFmtId="0" fontId="25" fillId="9" borderId="24" xfId="4" applyFont="1" applyFill="1" applyBorder="1" applyAlignment="1">
      <alignment readingOrder="1"/>
    </xf>
    <xf numFmtId="0" fontId="19" fillId="9" borderId="26" xfId="4" applyFont="1" applyFill="1" applyBorder="1" applyAlignment="1">
      <alignment horizontal="center" readingOrder="1"/>
    </xf>
    <xf numFmtId="0" fontId="19" fillId="9" borderId="15" xfId="4" applyFont="1" applyFill="1" applyBorder="1" applyAlignment="1">
      <alignment readingOrder="1"/>
    </xf>
    <xf numFmtId="0" fontId="19" fillId="9" borderId="24" xfId="4" applyFont="1" applyFill="1" applyBorder="1" applyAlignment="1">
      <alignment readingOrder="1"/>
    </xf>
    <xf numFmtId="0" fontId="20" fillId="9" borderId="25" xfId="4" applyFont="1" applyFill="1" applyBorder="1" applyAlignment="1">
      <alignment horizontal="center" readingOrder="1"/>
    </xf>
    <xf numFmtId="0" fontId="21" fillId="9" borderId="27" xfId="4" applyFont="1" applyFill="1" applyBorder="1" applyAlignment="1">
      <alignment horizontal="center" vertical="center" readingOrder="1"/>
    </xf>
    <xf numFmtId="0" fontId="21" fillId="9" borderId="8" xfId="4" applyFont="1" applyFill="1" applyBorder="1" applyAlignment="1">
      <alignment horizontal="center" readingOrder="1"/>
    </xf>
    <xf numFmtId="0" fontId="21" fillId="9" borderId="24" xfId="4" applyFont="1" applyFill="1" applyBorder="1" applyAlignment="1">
      <alignment horizontal="center" readingOrder="1"/>
    </xf>
    <xf numFmtId="0" fontId="20" fillId="9" borderId="23" xfId="4" applyFont="1" applyFill="1" applyBorder="1" applyAlignment="1">
      <alignment horizontal="center" readingOrder="1"/>
    </xf>
    <xf numFmtId="0" fontId="20" fillId="9" borderId="28" xfId="4" applyFont="1" applyFill="1" applyBorder="1" applyAlignment="1">
      <alignment horizontal="center" readingOrder="1"/>
    </xf>
    <xf numFmtId="0" fontId="26" fillId="9" borderId="24" xfId="4" applyFont="1" applyFill="1" applyBorder="1" applyAlignment="1">
      <alignment readingOrder="1"/>
    </xf>
    <xf numFmtId="0" fontId="21" fillId="9" borderId="8" xfId="4" applyFont="1" applyFill="1" applyBorder="1" applyAlignment="1">
      <alignment readingOrder="1"/>
    </xf>
    <xf numFmtId="0" fontId="20" fillId="9" borderId="29" xfId="4" applyFont="1" applyFill="1" applyBorder="1" applyAlignment="1">
      <alignment horizontal="center" readingOrder="1"/>
    </xf>
    <xf numFmtId="0" fontId="27" fillId="9" borderId="30" xfId="4" applyFont="1" applyFill="1" applyBorder="1" applyAlignment="1">
      <alignment readingOrder="1"/>
    </xf>
    <xf numFmtId="0" fontId="27" fillId="9" borderId="31" xfId="4" applyFont="1" applyFill="1" applyBorder="1" applyAlignment="1">
      <alignment readingOrder="1"/>
    </xf>
    <xf numFmtId="0" fontId="19" fillId="0" borderId="32" xfId="4" applyFont="1" applyBorder="1" applyAlignment="1">
      <alignment readingOrder="1"/>
    </xf>
    <xf numFmtId="0" fontId="19" fillId="0" borderId="33" xfId="4" applyFont="1" applyBorder="1" applyAlignment="1">
      <alignment readingOrder="1"/>
    </xf>
    <xf numFmtId="0" fontId="20" fillId="4" borderId="18" xfId="4" applyFont="1" applyFill="1" applyBorder="1" applyAlignment="1">
      <alignment horizontal="center" readingOrder="1"/>
    </xf>
    <xf numFmtId="0" fontId="21" fillId="4" borderId="19" xfId="4" applyFont="1" applyFill="1" applyBorder="1" applyAlignment="1">
      <alignment horizontal="center" vertical="center" readingOrder="1"/>
    </xf>
    <xf numFmtId="0" fontId="21" fillId="4" borderId="20" xfId="4" applyFont="1" applyFill="1" applyBorder="1" applyAlignment="1">
      <alignment horizontal="center" vertical="center" readingOrder="1"/>
    </xf>
    <xf numFmtId="0" fontId="21" fillId="4" borderId="21" xfId="4" applyFont="1" applyFill="1" applyBorder="1" applyAlignment="1">
      <alignment horizontal="center" vertical="center" readingOrder="1"/>
    </xf>
    <xf numFmtId="0" fontId="20" fillId="4" borderId="23" xfId="4" applyFont="1" applyFill="1" applyBorder="1" applyAlignment="1">
      <alignment horizontal="center" readingOrder="1"/>
    </xf>
    <xf numFmtId="0" fontId="21" fillId="4" borderId="13" xfId="4" applyFont="1" applyFill="1" applyBorder="1" applyAlignment="1">
      <alignment horizontal="center" vertical="center" readingOrder="1"/>
    </xf>
    <xf numFmtId="0" fontId="23" fillId="4" borderId="8" xfId="4" applyFont="1" applyFill="1" applyBorder="1" applyAlignment="1">
      <alignment readingOrder="1"/>
    </xf>
    <xf numFmtId="0" fontId="24" fillId="4" borderId="8" xfId="4" applyFont="1" applyFill="1" applyBorder="1" applyAlignment="1">
      <alignment readingOrder="1"/>
    </xf>
    <xf numFmtId="0" fontId="23" fillId="4" borderId="24" xfId="4" applyFont="1" applyFill="1" applyBorder="1" applyAlignment="1">
      <alignment readingOrder="1"/>
    </xf>
    <xf numFmtId="0" fontId="19" fillId="4" borderId="25" xfId="4" applyFont="1" applyFill="1" applyBorder="1" applyAlignment="1">
      <alignment horizontal="center" readingOrder="1"/>
    </xf>
    <xf numFmtId="0" fontId="25" fillId="4" borderId="8" xfId="4" applyFont="1" applyFill="1" applyBorder="1" applyAlignment="1">
      <alignment readingOrder="1"/>
    </xf>
    <xf numFmtId="0" fontId="25" fillId="4" borderId="24" xfId="4" applyFont="1" applyFill="1" applyBorder="1" applyAlignment="1">
      <alignment readingOrder="1"/>
    </xf>
    <xf numFmtId="0" fontId="19" fillId="4" borderId="26" xfId="4" applyFont="1" applyFill="1" applyBorder="1" applyAlignment="1">
      <alignment horizontal="center" readingOrder="1"/>
    </xf>
    <xf numFmtId="0" fontId="19" fillId="4" borderId="15" xfId="4" applyFont="1" applyFill="1" applyBorder="1" applyAlignment="1">
      <alignment readingOrder="1"/>
    </xf>
    <xf numFmtId="0" fontId="19" fillId="4" borderId="24" xfId="4" applyFont="1" applyFill="1" applyBorder="1" applyAlignment="1">
      <alignment readingOrder="1"/>
    </xf>
    <xf numFmtId="0" fontId="20" fillId="4" borderId="25" xfId="4" applyFont="1" applyFill="1" applyBorder="1" applyAlignment="1">
      <alignment horizontal="center" readingOrder="1"/>
    </xf>
    <xf numFmtId="0" fontId="21" fillId="4" borderId="27" xfId="4" applyFont="1" applyFill="1" applyBorder="1" applyAlignment="1">
      <alignment horizontal="center" vertical="center" readingOrder="1"/>
    </xf>
    <xf numFmtId="0" fontId="21" fillId="4" borderId="8" xfId="4" applyFont="1" applyFill="1" applyBorder="1" applyAlignment="1">
      <alignment horizontal="center" readingOrder="1"/>
    </xf>
    <xf numFmtId="0" fontId="21" fillId="4" borderId="24" xfId="4" applyFont="1" applyFill="1" applyBorder="1" applyAlignment="1">
      <alignment horizontal="center" readingOrder="1"/>
    </xf>
    <xf numFmtId="0" fontId="20" fillId="4" borderId="23" xfId="4" applyFont="1" applyFill="1" applyBorder="1" applyAlignment="1">
      <alignment horizontal="center" readingOrder="1"/>
    </xf>
    <xf numFmtId="0" fontId="20" fillId="4" borderId="28" xfId="4" applyFont="1" applyFill="1" applyBorder="1" applyAlignment="1">
      <alignment horizontal="center" readingOrder="1"/>
    </xf>
    <xf numFmtId="0" fontId="26" fillId="4" borderId="24" xfId="4" applyFont="1" applyFill="1" applyBorder="1" applyAlignment="1">
      <alignment readingOrder="1"/>
    </xf>
    <xf numFmtId="0" fontId="21" fillId="4" borderId="8" xfId="4" applyFont="1" applyFill="1" applyBorder="1" applyAlignment="1">
      <alignment readingOrder="1"/>
    </xf>
    <xf numFmtId="0" fontId="20" fillId="4" borderId="29" xfId="4" applyFont="1" applyFill="1" applyBorder="1" applyAlignment="1">
      <alignment horizontal="center" readingOrder="1"/>
    </xf>
    <xf numFmtId="0" fontId="27" fillId="4" borderId="30" xfId="4" applyFont="1" applyFill="1" applyBorder="1" applyAlignment="1">
      <alignment readingOrder="1"/>
    </xf>
    <xf numFmtId="0" fontId="27" fillId="4" borderId="31" xfId="4" applyFont="1" applyFill="1" applyBorder="1" applyAlignment="1">
      <alignment readingOrder="1"/>
    </xf>
    <xf numFmtId="0" fontId="19" fillId="0" borderId="34" xfId="4" applyFont="1" applyBorder="1" applyAlignment="1">
      <alignment readingOrder="1"/>
    </xf>
    <xf numFmtId="0" fontId="19" fillId="0" borderId="8" xfId="4" applyFont="1" applyBorder="1" applyAlignment="1">
      <alignment readingOrder="1"/>
    </xf>
  </cellXfs>
  <cellStyles count="6">
    <cellStyle name="จุลภาค 2" xfId="2" xr:uid="{15998627-816F-48EC-A854-FB7BFBCC61D4}"/>
    <cellStyle name="ปกติ" xfId="0" builtinId="0"/>
    <cellStyle name="ปกติ 2" xfId="1" xr:uid="{9D80CC6D-62EE-4F0B-8238-5D1FC35EE372}"/>
    <cellStyle name="ปกติ 3" xfId="4" xr:uid="{7CCB15FE-4515-4FD3-96F8-18D2EF55155A}"/>
    <cellStyle name="เปอร์เซ็นต์ 2" xfId="3" xr:uid="{11D25CF2-645E-4716-9F89-274592812328}"/>
    <cellStyle name="เปอร์เซ็นต์ 3" xfId="5" xr:uid="{3DF24631-B071-4402-968E-3AC570FBD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เปรียบเทียบปริมาณการใช้กระดาษระหว่างปี</a:t>
            </a:r>
            <a:r>
              <a:rPr lang="en-US"/>
              <a:t> 2568 </a:t>
            </a:r>
            <a:r>
              <a:rPr lang="th-TH"/>
              <a:t>กับ ปี </a:t>
            </a:r>
            <a:r>
              <a:rPr lang="en-US"/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'2569'!$C$4</c:f>
              <c:strCache>
                <c:ptCount val="1"/>
                <c:pt idx="0">
                  <c:v> (รีม)ปี2568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'2569'!$C$5:$C$17</c:f>
              <c:numCache>
                <c:formatCode>_(* #,##0.00_);_(* \(#,##0.00\);_(* "-"??_);_(@_)</c:formatCode>
                <c:ptCount val="13"/>
                <c:pt idx="0">
                  <c:v>194.39999999999998</c:v>
                </c:pt>
                <c:pt idx="1">
                  <c:v>175.5</c:v>
                </c:pt>
                <c:pt idx="2">
                  <c:v>245.70000000000002</c:v>
                </c:pt>
                <c:pt idx="3">
                  <c:v>189</c:v>
                </c:pt>
                <c:pt idx="4">
                  <c:v>126.90000000000002</c:v>
                </c:pt>
                <c:pt idx="5">
                  <c:v>183.6</c:v>
                </c:pt>
                <c:pt idx="6">
                  <c:v>159.30000000000001</c:v>
                </c:pt>
                <c:pt idx="7">
                  <c:v>206.55</c:v>
                </c:pt>
                <c:pt idx="8">
                  <c:v>198.45000000000002</c:v>
                </c:pt>
                <c:pt idx="9">
                  <c:v>140.4</c:v>
                </c:pt>
                <c:pt idx="10">
                  <c:v>213.3</c:v>
                </c:pt>
                <c:pt idx="11">
                  <c:v>164.70000000000002</c:v>
                </c:pt>
                <c:pt idx="12">
                  <c:v>183.14999999999998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B-4C94-83B8-92918FE13D40}"/>
            </c:ext>
          </c:extLst>
        </c:ser>
        <c:ser>
          <c:idx val="1"/>
          <c:order val="1"/>
          <c:tx>
            <c:strRef>
              <c:f>'2569'!$G$4</c:f>
              <c:strCache>
                <c:ptCount val="1"/>
                <c:pt idx="0">
                  <c:v>(รีม)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'2569'!$G$5:$G$17</c:f>
              <c:numCache>
                <c:formatCode>_(* #,##0.00_);_(* \(#,##0.00\);_(* "-"??_);_(@_)</c:formatCode>
                <c:ptCount val="13"/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B-4C94-83B8-92918FE13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2192271"/>
        <c:axId val="1"/>
      </c:barChart>
      <c:catAx>
        <c:axId val="97219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972192271"/>
        <c:crosses val="autoZero"/>
        <c:crossBetween val="between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4069470042165024E-2"/>
          <c:y val="0.89605289732067694"/>
          <c:w val="0.81189188759468578"/>
          <c:h val="8.868782942764379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'2569'!$E$4</c:f>
              <c:strCache>
                <c:ptCount val="1"/>
                <c:pt idx="0">
                  <c:v>(รีม/คน) 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'2569'!$E$5:$E$17</c:f>
              <c:numCache>
                <c:formatCode>_(* #,##0.00_);_(* \(#,##0.00\);_(* "-"??_);_(@_)</c:formatCode>
                <c:ptCount val="13"/>
                <c:pt idx="0">
                  <c:v>2.0463157894736841</c:v>
                </c:pt>
                <c:pt idx="1">
                  <c:v>1.8473684210526315</c:v>
                </c:pt>
                <c:pt idx="2">
                  <c:v>2.5863157894736846</c:v>
                </c:pt>
                <c:pt idx="3">
                  <c:v>1.9894736842105263</c:v>
                </c:pt>
                <c:pt idx="4">
                  <c:v>1.3357894736842106</c:v>
                </c:pt>
                <c:pt idx="5">
                  <c:v>1.9326315789473683</c:v>
                </c:pt>
                <c:pt idx="6">
                  <c:v>1.6768421052631579</c:v>
                </c:pt>
                <c:pt idx="7">
                  <c:v>2.1742105263157896</c:v>
                </c:pt>
                <c:pt idx="8">
                  <c:v>2.0889473684210529</c:v>
                </c:pt>
                <c:pt idx="9">
                  <c:v>1.4778947368421054</c:v>
                </c:pt>
                <c:pt idx="10">
                  <c:v>2.2452631578947368</c:v>
                </c:pt>
                <c:pt idx="11">
                  <c:v>1.7336842105263159</c:v>
                </c:pt>
                <c:pt idx="12">
                  <c:v>1.9278947368421055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D-48DB-8415-D130EC579811}"/>
            </c:ext>
          </c:extLst>
        </c:ser>
        <c:ser>
          <c:idx val="1"/>
          <c:order val="1"/>
          <c:tx>
            <c:strRef>
              <c:f>'2569'!$I$4</c:f>
              <c:strCache>
                <c:ptCount val="1"/>
                <c:pt idx="0">
                  <c:v>(รีม/คน)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'2569'!$I$5:$I$17</c:f>
              <c:numCache>
                <c:formatCode>_(* #,##0.00_);_(* \(#,##0.00\);_(*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D-48DB-8415-D130EC57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2084271"/>
        <c:axId val="1"/>
      </c:barChart>
      <c:catAx>
        <c:axId val="9720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972084271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174733024301763"/>
          <c:y val="0.92455811425228374"/>
          <c:w val="0.85903817390890591"/>
          <c:h val="5.66055988317724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8578025052257691"/>
          <c:y val="3.76218190117539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32448765350954339"/>
          <c:w val="0.65239819587957892"/>
          <c:h val="0.485585423790947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7A-4EA6-8864-16A0473D03AC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3A7A-4EA6-8864-16A0473D03AC}"/>
              </c:ext>
            </c:extLst>
          </c:dPt>
          <c:cat>
            <c:strRef>
              <c:f>('2569'!$C$4,'2569'!$G$4)</c:f>
              <c:strCache>
                <c:ptCount val="2"/>
                <c:pt idx="0">
                  <c:v> (รีม)ปี2568</c:v>
                </c:pt>
                <c:pt idx="1">
                  <c:v>(รีม) ปี 2569</c:v>
                </c:pt>
              </c:strCache>
            </c:strRef>
          </c:cat>
          <c:val>
            <c:numRef>
              <c:f>('2569'!$C$18,'2569'!$G$18)</c:f>
              <c:numCache>
                <c:formatCode>_(* #,##0.00_);_(* \(#,##0.00\);_(* "-"??_);_(@_)</c:formatCode>
                <c:ptCount val="2"/>
                <c:pt idx="0">
                  <c:v>2197.7999999999997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7A-4EA6-8864-16A0473D0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123151"/>
        <c:axId val="1"/>
      </c:barChart>
      <c:catAx>
        <c:axId val="97212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972123151"/>
        <c:crosses val="autoZero"/>
        <c:crossBetween val="between"/>
        <c:majorUnit val="2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803783329902"/>
          <c:y val="2.3333445980196679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25-4098-87AB-89784068DAB0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CF25-4098-87AB-89784068DAB0}"/>
              </c:ext>
            </c:extLst>
          </c:dPt>
          <c:cat>
            <c:strRef>
              <c:f>('2569'!$E$4,'2569'!$I$4)</c:f>
              <c:strCache>
                <c:ptCount val="2"/>
                <c:pt idx="0">
                  <c:v>(รีม/คน) ปี2568</c:v>
                </c:pt>
                <c:pt idx="1">
                  <c:v>(รีม/คน) ปี 2569</c:v>
                </c:pt>
              </c:strCache>
            </c:strRef>
          </c:cat>
          <c:val>
            <c:numRef>
              <c:f>('2569'!$E$18,'2569'!$I$18)</c:f>
              <c:numCache>
                <c:formatCode>_(* #,##0.00_);_(* \(#,##0.00\);_(* "-"??_);_(@_)</c:formatCode>
                <c:ptCount val="2"/>
                <c:pt idx="0">
                  <c:v>23.134736842105266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25-4098-87AB-89784068D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144271"/>
        <c:axId val="1"/>
      </c:barChart>
      <c:catAx>
        <c:axId val="97214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972144271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เปรียบเทียบปริมาณการใช้กระดาษระหว่างปี</a:t>
            </a:r>
            <a:r>
              <a:rPr lang="en-US"/>
              <a:t> 256</a:t>
            </a:r>
            <a:r>
              <a:rPr lang="th-TH"/>
              <a:t>6</a:t>
            </a:r>
            <a:r>
              <a:rPr lang="th-TH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[2]น้ำ!$C$4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[2]น้ำ!$C$5:$C$17</c:f>
              <c:numCache>
                <c:formatCode>General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5-4DD2-A615-86B75D5F863E}"/>
            </c:ext>
          </c:extLst>
        </c:ser>
        <c:ser>
          <c:idx val="1"/>
          <c:order val="1"/>
          <c:tx>
            <c:strRef>
              <c:f>[2]น้ำ!$G$4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[2]น้ำ!$G$5:$G$17</c:f>
              <c:numCache>
                <c:formatCode>General</c:formatCode>
                <c:ptCount val="13"/>
                <c:pt idx="0">
                  <c:v>291</c:v>
                </c:pt>
                <c:pt idx="1">
                  <c:v>467.3</c:v>
                </c:pt>
                <c:pt idx="2">
                  <c:v>507.6</c:v>
                </c:pt>
                <c:pt idx="3">
                  <c:v>452.3</c:v>
                </c:pt>
                <c:pt idx="4">
                  <c:v>408.7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177.24166666666667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5-4DD2-A615-86B75D5F8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8129408"/>
        <c:axId val="1"/>
      </c:barChart>
      <c:catAx>
        <c:axId val="7681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68129408"/>
        <c:crosses val="autoZero"/>
        <c:crossBetween val="between"/>
        <c:majorUnit val="100"/>
        <c:min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2488459863019207E-2"/>
          <c:y val="0.89605262305174815"/>
          <c:w val="0.80927457289596127"/>
          <c:h val="8.868766404199479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[2]น้ำ!$E$4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[2]น้ำ!$E$5:$E$17</c:f>
              <c:numCache>
                <c:formatCode>General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682-9E50-A25897493DB1}"/>
            </c:ext>
          </c:extLst>
        </c:ser>
        <c:ser>
          <c:idx val="1"/>
          <c:order val="1"/>
          <c:tx>
            <c:strRef>
              <c:f>[2]น้ำ!$I$4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[2]น้ำ!$I$5:$I$17</c:f>
              <c:numCache>
                <c:formatCode>General</c:formatCode>
                <c:ptCount val="13"/>
                <c:pt idx="0">
                  <c:v>3.0957446808510638</c:v>
                </c:pt>
                <c:pt idx="1">
                  <c:v>4.9712765957446807</c:v>
                </c:pt>
                <c:pt idx="2">
                  <c:v>5.4</c:v>
                </c:pt>
                <c:pt idx="3">
                  <c:v>4.8117021276595748</c:v>
                </c:pt>
                <c:pt idx="4">
                  <c:v>4.3478723404255319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1.8855496453900711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8-4682-9E50-A25897493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6181391"/>
        <c:axId val="1"/>
      </c:barChart>
      <c:catAx>
        <c:axId val="65618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656181391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92176416237"/>
          <c:y val="0.92770270382868802"/>
          <c:w val="0.86049158301215145"/>
          <c:h val="5.660592425946753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560109744"/>
          <c:y val="3.34759081040795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48-4B6F-A63A-CD40E543F62D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6848-4B6F-A63A-CD40E543F62D}"/>
              </c:ext>
            </c:extLst>
          </c:dPt>
          <c:cat>
            <c:strRef>
              <c:f>([2]น้ำ!$C$4,[2]น้ำ!$G$4)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([2]น้ำ!$C$18,[2]น้ำ!$G$18)</c:f>
              <c:numCache>
                <c:formatCode>General</c:formatCode>
                <c:ptCount val="2"/>
                <c:pt idx="0">
                  <c:v>5523</c:v>
                </c:pt>
                <c:pt idx="1">
                  <c:v>2126.9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48-4B6F-A63A-CD40E543F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281600"/>
        <c:axId val="1"/>
      </c:barChart>
      <c:catAx>
        <c:axId val="75828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58281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3895443923"/>
          <c:y val="2.333341772792870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44-4288-9734-EA5B77AED78E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844-4288-9734-EA5B77AED78E}"/>
              </c:ext>
            </c:extLst>
          </c:dPt>
          <c:cat>
            <c:strRef>
              <c:f>([2]น้ำ!$E$4,[2]น้ำ!$I$4)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([2]น้ำ!$E$18,[2]น้ำ!$I$18)</c:f>
              <c:numCache>
                <c:formatCode>General</c:formatCode>
                <c:ptCount val="2"/>
                <c:pt idx="0">
                  <c:v>58.755319148936167</c:v>
                </c:pt>
                <c:pt idx="1">
                  <c:v>22.626595744680852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44-4288-9734-EA5B77AED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800208"/>
        <c:axId val="1"/>
      </c:barChart>
      <c:catAx>
        <c:axId val="7568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56800208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เปรียบเทียบปริมาณการใช้กระดาษระหว่างปี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(กิโลกรัม)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_(* #,##0.00_);_(* \(#,##0.00\);_(* "-"??_);_(@_)</c:formatCode>
                <c:ptCount val="13"/>
                <c:pt idx="0">
                  <c:v>202.5</c:v>
                </c:pt>
                <c:pt idx="1">
                  <c:v>226.8</c:v>
                </c:pt>
                <c:pt idx="2">
                  <c:v>224.1</c:v>
                </c:pt>
                <c:pt idx="3">
                  <c:v>91.8</c:v>
                </c:pt>
                <c:pt idx="4">
                  <c:v>151.19999999999999</c:v>
                </c:pt>
                <c:pt idx="5">
                  <c:v>172.8</c:v>
                </c:pt>
                <c:pt idx="6">
                  <c:v>132.30000000000001</c:v>
                </c:pt>
                <c:pt idx="7">
                  <c:v>167.4</c:v>
                </c:pt>
                <c:pt idx="8">
                  <c:v>153.9</c:v>
                </c:pt>
                <c:pt idx="9">
                  <c:v>164.70000000000002</c:v>
                </c:pt>
                <c:pt idx="10">
                  <c:v>183.60000000000002</c:v>
                </c:pt>
                <c:pt idx="11">
                  <c:v>210.60000000000002</c:v>
                </c:pt>
                <c:pt idx="12">
                  <c:v>173.47499999999999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0-4644-A112-0E60730F7EB5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(กิโลกรัม) 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_(* #,##0.00_);_(* \(#,##0.00\);_(* "-"??_);_(@_)</c:formatCode>
                <c:ptCount val="13"/>
                <c:pt idx="0">
                  <c:v>194.39999999999998</c:v>
                </c:pt>
                <c:pt idx="1">
                  <c:v>175.5</c:v>
                </c:pt>
                <c:pt idx="2">
                  <c:v>245.70000000000002</c:v>
                </c:pt>
                <c:pt idx="3">
                  <c:v>189</c:v>
                </c:pt>
                <c:pt idx="4">
                  <c:v>126.90000000000002</c:v>
                </c:pt>
                <c:pt idx="5">
                  <c:v>183.6</c:v>
                </c:pt>
                <c:pt idx="6">
                  <c:v>159.30000000000001</c:v>
                </c:pt>
                <c:pt idx="7">
                  <c:v>206.55</c:v>
                </c:pt>
                <c:pt idx="8">
                  <c:v>198.45000000000002</c:v>
                </c:pt>
                <c:pt idx="9">
                  <c:v>140.4</c:v>
                </c:pt>
                <c:pt idx="10">
                  <c:v>213.3</c:v>
                </c:pt>
                <c:pt idx="11">
                  <c:v>164.70000000000002</c:v>
                </c:pt>
                <c:pt idx="12">
                  <c:v>183.14999999999998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50-4644-A112-0E60730F7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259679"/>
        <c:axId val="1420262079"/>
      </c:barChart>
      <c:catAx>
        <c:axId val="142025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262079"/>
        <c:crosses val="autoZero"/>
        <c:auto val="1"/>
        <c:lblAlgn val="ctr"/>
        <c:lblOffset val="100"/>
        <c:noMultiLvlLbl val="0"/>
      </c:catAx>
      <c:valAx>
        <c:axId val="14202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25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เปรียบเทียบการใช้กระดาษสะสม 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01-41AC-BE3A-67C68D2C2F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(กิโลกรัม) ปี2567</c:v>
                </c:pt>
                <c:pt idx="1">
                  <c:v>(กิโลกรัม) ปี 2568</c:v>
                </c:pt>
              </c:strCache>
            </c:strRef>
          </c:cat>
          <c:val>
            <c:numRef>
              <c:f>('2568'!$C$18,'2568'!$G$18)</c:f>
              <c:numCache>
                <c:formatCode>_(* #,##0.00_);_(* \(#,##0.00\);_(* "-"??_);_(@_)</c:formatCode>
                <c:ptCount val="2"/>
                <c:pt idx="0">
                  <c:v>2081.6999999999998</c:v>
                </c:pt>
                <c:pt idx="1">
                  <c:v>2197.7999999999997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01-41AC-BE3A-67C68D2C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287712"/>
        <c:axId val="1020289152"/>
      </c:barChart>
      <c:catAx>
        <c:axId val="102028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89152"/>
        <c:crosses val="autoZero"/>
        <c:auto val="1"/>
        <c:lblAlgn val="ctr"/>
        <c:lblOffset val="100"/>
        <c:noMultiLvlLbl val="0"/>
      </c:catAx>
      <c:valAx>
        <c:axId val="10202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8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เปรียบเทียบปริมาณการใช้กระดาษต่อคนระหว่าง 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(กิโลกรัม/คน)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_(* #,##0.00_);_(* \(#,##0.00\);_(* "-"??_);_(@_)</c:formatCode>
                <c:ptCount val="13"/>
                <c:pt idx="0">
                  <c:v>2.1315789473684212</c:v>
                </c:pt>
                <c:pt idx="1">
                  <c:v>2.3873684210526318</c:v>
                </c:pt>
                <c:pt idx="2">
                  <c:v>2.3589473684210525</c:v>
                </c:pt>
                <c:pt idx="3">
                  <c:v>0.96631578947368413</c:v>
                </c:pt>
                <c:pt idx="4">
                  <c:v>1.591578947368421</c:v>
                </c:pt>
                <c:pt idx="5">
                  <c:v>1.8189473684210526</c:v>
                </c:pt>
                <c:pt idx="6">
                  <c:v>1.3926315789473684</c:v>
                </c:pt>
                <c:pt idx="7">
                  <c:v>1.7621052631578948</c:v>
                </c:pt>
                <c:pt idx="8">
                  <c:v>1.62</c:v>
                </c:pt>
                <c:pt idx="9">
                  <c:v>1.7336842105263159</c:v>
                </c:pt>
                <c:pt idx="10">
                  <c:v>1.9326315789473687</c:v>
                </c:pt>
                <c:pt idx="11">
                  <c:v>2.2168421052631579</c:v>
                </c:pt>
                <c:pt idx="12">
                  <c:v>1.8260526315789474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8-47CD-BDBF-8C51A2125C63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(กิโลกรัม/คน)ปี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_(* #,##0.00_);_(* \(#,##0.00\);_(* "-"??_);_(@_)</c:formatCode>
                <c:ptCount val="13"/>
                <c:pt idx="0">
                  <c:v>2.0463157894736841</c:v>
                </c:pt>
                <c:pt idx="1">
                  <c:v>1.8473684210526315</c:v>
                </c:pt>
                <c:pt idx="2">
                  <c:v>2.5863157894736846</c:v>
                </c:pt>
                <c:pt idx="3">
                  <c:v>1.9894736842105263</c:v>
                </c:pt>
                <c:pt idx="4">
                  <c:v>1.3357894736842106</c:v>
                </c:pt>
                <c:pt idx="5">
                  <c:v>1.9326315789473683</c:v>
                </c:pt>
                <c:pt idx="6">
                  <c:v>1.6768421052631579</c:v>
                </c:pt>
                <c:pt idx="7">
                  <c:v>2.1742105263157896</c:v>
                </c:pt>
                <c:pt idx="8">
                  <c:v>2.0889473684210529</c:v>
                </c:pt>
                <c:pt idx="9">
                  <c:v>1.4778947368421054</c:v>
                </c:pt>
                <c:pt idx="10">
                  <c:v>2.2452631578947368</c:v>
                </c:pt>
                <c:pt idx="11">
                  <c:v>1.7336842105263159</c:v>
                </c:pt>
                <c:pt idx="12">
                  <c:v>1.9278947368421051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8-47CD-BDBF-8C51A2125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370752"/>
        <c:axId val="983373152"/>
      </c:barChart>
      <c:catAx>
        <c:axId val="9833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3152"/>
        <c:crosses val="autoZero"/>
        <c:auto val="1"/>
        <c:lblAlgn val="ctr"/>
        <c:lblOffset val="100"/>
        <c:noMultiLvlLbl val="0"/>
      </c:catAx>
      <c:valAx>
        <c:axId val="98337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เปรียบเทียบการใช้กระดาษต่อคนสะสมระหว่างปี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CA-4A32-8C79-ACA4888696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('2568'!$E$4,'2568'!$I$4)</c:f>
              <c:strCache>
                <c:ptCount val="2"/>
                <c:pt idx="0">
                  <c:v>(กิโลกรัม/คน) ปี2567</c:v>
                </c:pt>
                <c:pt idx="1">
                  <c:v>(กิโลกรัม/คน)ปี 2568</c:v>
                </c:pt>
              </c:strCache>
            </c:strRef>
          </c:cat>
          <c:val>
            <c:numRef>
              <c:f>('2568'!$E$18,'2568'!$I$18)</c:f>
              <c:numCache>
                <c:formatCode>_(* #,##0.00_);_(* \(#,##0.00\);_(* "-"??_);_(@_)</c:formatCode>
                <c:ptCount val="2"/>
                <c:pt idx="0">
                  <c:v>21.912631578947369</c:v>
                </c:pt>
                <c:pt idx="1">
                  <c:v>23.134736842105266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CA-4A32-8C79-ACA488869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707456"/>
        <c:axId val="984708416"/>
      </c:barChart>
      <c:catAx>
        <c:axId val="98470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08416"/>
        <c:crosses val="autoZero"/>
        <c:auto val="1"/>
        <c:lblAlgn val="ctr"/>
        <c:lblOffset val="100"/>
        <c:noMultiLvlLbl val="0"/>
      </c:catAx>
      <c:valAx>
        <c:axId val="9847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0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เปรียบเทียบปริมาณการใช้กระดาษระหว่างปี</a:t>
            </a:r>
            <a:r>
              <a:rPr lang="en-US"/>
              <a:t> 256</a:t>
            </a:r>
            <a:r>
              <a:rPr lang="th-TH"/>
              <a:t>6</a:t>
            </a:r>
            <a:r>
              <a:rPr lang="th-TH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[2]น้ำ!$C$4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[2]น้ำ!$C$5:$C$17</c:f>
              <c:numCache>
                <c:formatCode>General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E-4121-B3DA-9F9E99D23C53}"/>
            </c:ext>
          </c:extLst>
        </c:ser>
        <c:ser>
          <c:idx val="1"/>
          <c:order val="1"/>
          <c:tx>
            <c:strRef>
              <c:f>[2]น้ำ!$G$4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[2]น้ำ!$G$5:$G$17</c:f>
              <c:numCache>
                <c:formatCode>General</c:formatCode>
                <c:ptCount val="13"/>
                <c:pt idx="0">
                  <c:v>291</c:v>
                </c:pt>
                <c:pt idx="1">
                  <c:v>467.3</c:v>
                </c:pt>
                <c:pt idx="2">
                  <c:v>507.6</c:v>
                </c:pt>
                <c:pt idx="3">
                  <c:v>452.3</c:v>
                </c:pt>
                <c:pt idx="4">
                  <c:v>408.7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177.24166666666667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E-4121-B3DA-9F9E99D23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8129408"/>
        <c:axId val="1"/>
      </c:barChart>
      <c:catAx>
        <c:axId val="7681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68129408"/>
        <c:crosses val="autoZero"/>
        <c:crossBetween val="between"/>
        <c:majorUnit val="100"/>
        <c:min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2488459863019207E-2"/>
          <c:y val="0.89605262305174815"/>
          <c:w val="0.80927457289596127"/>
          <c:h val="8.868766404199479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[2]น้ำ!$E$4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[2]น้ำ!$E$5:$E$17</c:f>
              <c:numCache>
                <c:formatCode>General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F-4D54-8F30-74897B474F41}"/>
            </c:ext>
          </c:extLst>
        </c:ser>
        <c:ser>
          <c:idx val="1"/>
          <c:order val="1"/>
          <c:tx>
            <c:strRef>
              <c:f>[2]น้ำ!$I$4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[2]น้ำ!$I$5:$I$17</c:f>
              <c:numCache>
                <c:formatCode>General</c:formatCode>
                <c:ptCount val="13"/>
                <c:pt idx="0">
                  <c:v>3.0957446808510638</c:v>
                </c:pt>
                <c:pt idx="1">
                  <c:v>4.9712765957446807</c:v>
                </c:pt>
                <c:pt idx="2">
                  <c:v>5.4</c:v>
                </c:pt>
                <c:pt idx="3">
                  <c:v>4.8117021276595748</c:v>
                </c:pt>
                <c:pt idx="4">
                  <c:v>4.3478723404255319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1.8855496453900711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F-4D54-8F30-74897B474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6181391"/>
        <c:axId val="1"/>
      </c:barChart>
      <c:catAx>
        <c:axId val="65618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656181391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92176416237"/>
          <c:y val="0.92770270382868802"/>
          <c:w val="0.86049158301215145"/>
          <c:h val="5.660592425946753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560109744"/>
          <c:y val="3.34759081040795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AF-402B-A8E4-E3E67FA23B75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82AF-402B-A8E4-E3E67FA23B75}"/>
              </c:ext>
            </c:extLst>
          </c:dPt>
          <c:cat>
            <c:strRef>
              <c:f>([2]น้ำ!$C$4,[2]น้ำ!$G$4)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([2]น้ำ!$C$18,[2]น้ำ!$G$18)</c:f>
              <c:numCache>
                <c:formatCode>General</c:formatCode>
                <c:ptCount val="2"/>
                <c:pt idx="0">
                  <c:v>5523</c:v>
                </c:pt>
                <c:pt idx="1">
                  <c:v>2126.9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AF-402B-A8E4-E3E67FA23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281600"/>
        <c:axId val="1"/>
      </c:barChart>
      <c:catAx>
        <c:axId val="75828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58281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3895443923"/>
          <c:y val="2.333341772792870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9E-48CB-9D29-4DC9C16FF04F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929E-48CB-9D29-4DC9C16FF04F}"/>
              </c:ext>
            </c:extLst>
          </c:dPt>
          <c:cat>
            <c:strRef>
              <c:f>([2]น้ำ!$E$4,[2]น้ำ!$I$4)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([2]น้ำ!$E$18,[2]น้ำ!$I$18)</c:f>
              <c:numCache>
                <c:formatCode>General</c:formatCode>
                <c:ptCount val="2"/>
                <c:pt idx="0">
                  <c:v>58.755319148936167</c:v>
                </c:pt>
                <c:pt idx="1">
                  <c:v>22.626595744680852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9E-48CB-9D29-4DC9C16FF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800208"/>
        <c:axId val="1"/>
      </c:barChart>
      <c:catAx>
        <c:axId val="7568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56800208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เปรียบเทียบปริมาณการใช้กระดาษระหว่างปี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'2567'!$C$4</c:f>
              <c:strCache>
                <c:ptCount val="1"/>
                <c:pt idx="0">
                  <c:v> (กิโลกรัม) ปี2566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'2567'!$C$5:$C$17</c:f>
              <c:numCache>
                <c:formatCode>_(* #,##0.00_);_(* \(#,##0.00\);_(* "-"??_);_(@_)</c:formatCode>
                <c:ptCount val="13"/>
                <c:pt idx="0">
                  <c:v>105.3</c:v>
                </c:pt>
                <c:pt idx="1">
                  <c:v>162</c:v>
                </c:pt>
                <c:pt idx="2">
                  <c:v>172.8</c:v>
                </c:pt>
                <c:pt idx="3">
                  <c:v>116.1</c:v>
                </c:pt>
                <c:pt idx="4">
                  <c:v>132.30000000000001</c:v>
                </c:pt>
                <c:pt idx="5">
                  <c:v>105.3</c:v>
                </c:pt>
                <c:pt idx="6">
                  <c:v>108</c:v>
                </c:pt>
                <c:pt idx="7">
                  <c:v>170.1</c:v>
                </c:pt>
                <c:pt idx="8">
                  <c:v>140.4</c:v>
                </c:pt>
                <c:pt idx="9">
                  <c:v>189</c:v>
                </c:pt>
                <c:pt idx="10">
                  <c:v>305.10000000000002</c:v>
                </c:pt>
                <c:pt idx="11">
                  <c:v>378</c:v>
                </c:pt>
                <c:pt idx="12">
                  <c:v>173.70000000000002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2-4FA0-9604-6343A528EB57}"/>
            </c:ext>
          </c:extLst>
        </c:ser>
        <c:ser>
          <c:idx val="1"/>
          <c:order val="1"/>
          <c:tx>
            <c:strRef>
              <c:f>'2567'!$G$4</c:f>
              <c:strCache>
                <c:ptCount val="1"/>
                <c:pt idx="0">
                  <c:v>(กิโลกรัม) 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'2567'!$G$5:$G$17</c:f>
              <c:numCache>
                <c:formatCode>_(* #,##0.00_);_(* \(#,##0.00\);_(* "-"??_);_(@_)</c:formatCode>
                <c:ptCount val="13"/>
                <c:pt idx="0">
                  <c:v>202.5</c:v>
                </c:pt>
                <c:pt idx="1">
                  <c:v>226.8</c:v>
                </c:pt>
                <c:pt idx="2">
                  <c:v>224.1</c:v>
                </c:pt>
                <c:pt idx="3">
                  <c:v>91.8</c:v>
                </c:pt>
                <c:pt idx="4">
                  <c:v>151.19999999999999</c:v>
                </c:pt>
                <c:pt idx="5">
                  <c:v>172.8</c:v>
                </c:pt>
                <c:pt idx="6">
                  <c:v>132.30000000000001</c:v>
                </c:pt>
                <c:pt idx="7">
                  <c:v>167.4</c:v>
                </c:pt>
                <c:pt idx="8">
                  <c:v>153.9</c:v>
                </c:pt>
                <c:pt idx="9">
                  <c:v>164.70000000000002</c:v>
                </c:pt>
                <c:pt idx="10">
                  <c:v>164.70000000000002</c:v>
                </c:pt>
                <c:pt idx="11">
                  <c:v>175.5</c:v>
                </c:pt>
                <c:pt idx="12">
                  <c:v>168.97499999999999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62-4FA0-9604-6343A528E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259679"/>
        <c:axId val="1420262079"/>
      </c:barChart>
      <c:catAx>
        <c:axId val="142025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262079"/>
        <c:crosses val="autoZero"/>
        <c:auto val="1"/>
        <c:lblAlgn val="ctr"/>
        <c:lblOffset val="100"/>
        <c:noMultiLvlLbl val="0"/>
      </c:catAx>
      <c:valAx>
        <c:axId val="14202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25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เปรียบเทียบการใช้กระดาษสะสม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>
              <a:defRPr/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C8-4E84-8B05-5B71150B48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('2567'!$C$4,'2567'!$G$4)</c:f>
              <c:strCache>
                <c:ptCount val="2"/>
                <c:pt idx="0">
                  <c:v> (กิโลกรัม) ปี2566</c:v>
                </c:pt>
                <c:pt idx="1">
                  <c:v>(กิโลกรัม) ปี 2567</c:v>
                </c:pt>
              </c:strCache>
            </c:strRef>
          </c:cat>
          <c:val>
            <c:numRef>
              <c:f>('2567'!$C$18,'2567'!$G$18)</c:f>
              <c:numCache>
                <c:formatCode>_(* #,##0.00_);_(* \(#,##0.00\);_(* "-"??_);_(@_)</c:formatCode>
                <c:ptCount val="2"/>
                <c:pt idx="0">
                  <c:v>2084.4</c:v>
                </c:pt>
                <c:pt idx="1">
                  <c:v>2027.7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8-4E84-8B05-5B71150B4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287712"/>
        <c:axId val="1020289152"/>
      </c:barChart>
      <c:catAx>
        <c:axId val="102028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89152"/>
        <c:crosses val="autoZero"/>
        <c:auto val="1"/>
        <c:lblAlgn val="ctr"/>
        <c:lblOffset val="100"/>
        <c:noMultiLvlLbl val="0"/>
      </c:catAx>
      <c:valAx>
        <c:axId val="10202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8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เปรียบเทียบปริมาณการใช้กระดาษต่อคนระหว่าง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'2567'!$E$4</c:f>
              <c:strCache>
                <c:ptCount val="1"/>
                <c:pt idx="0">
                  <c:v>(กิโลกรัม/คน) ปี2566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'2567'!$E$5:$E$17</c:f>
              <c:numCache>
                <c:formatCode>_(* #,##0.00_);_(* \(#,##0.00\);_(* "-"??_);_(@_)</c:formatCode>
                <c:ptCount val="13"/>
                <c:pt idx="0">
                  <c:v>1.1202127659574468</c:v>
                </c:pt>
                <c:pt idx="1">
                  <c:v>1.7234042553191489</c:v>
                </c:pt>
                <c:pt idx="2">
                  <c:v>1.8382978723404257</c:v>
                </c:pt>
                <c:pt idx="3">
                  <c:v>1.2351063829787234</c:v>
                </c:pt>
                <c:pt idx="4">
                  <c:v>1.4074468085106384</c:v>
                </c:pt>
                <c:pt idx="5">
                  <c:v>1.1202127659574468</c:v>
                </c:pt>
                <c:pt idx="6">
                  <c:v>1.1489361702127661</c:v>
                </c:pt>
                <c:pt idx="7">
                  <c:v>1.8095744680851062</c:v>
                </c:pt>
                <c:pt idx="8">
                  <c:v>1.4936170212765958</c:v>
                </c:pt>
                <c:pt idx="9">
                  <c:v>2.0106382978723403</c:v>
                </c:pt>
                <c:pt idx="10">
                  <c:v>3.2457446808510642</c:v>
                </c:pt>
                <c:pt idx="11">
                  <c:v>4.0212765957446805</c:v>
                </c:pt>
                <c:pt idx="12">
                  <c:v>1.8478723404255317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6-4CAF-A4E0-F3501B112DE7}"/>
            </c:ext>
          </c:extLst>
        </c:ser>
        <c:ser>
          <c:idx val="1"/>
          <c:order val="1"/>
          <c:tx>
            <c:strRef>
              <c:f>'2567'!$I$4</c:f>
              <c:strCache>
                <c:ptCount val="1"/>
                <c:pt idx="0">
                  <c:v>(กิโลกรัม/คน)ปี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'2567'!$I$5:$I$17</c:f>
              <c:numCache>
                <c:formatCode>_(* #,##0.00_);_(* \(#,##0.00\);_(* "-"??_);_(@_)</c:formatCode>
                <c:ptCount val="13"/>
                <c:pt idx="0">
                  <c:v>2.1315789473684212</c:v>
                </c:pt>
                <c:pt idx="1">
                  <c:v>2.3873684210526318</c:v>
                </c:pt>
                <c:pt idx="2">
                  <c:v>2.3589473684210525</c:v>
                </c:pt>
                <c:pt idx="3">
                  <c:v>0.96631578947368413</c:v>
                </c:pt>
                <c:pt idx="4">
                  <c:v>1.591578947368421</c:v>
                </c:pt>
                <c:pt idx="5">
                  <c:v>1.8189473684210526</c:v>
                </c:pt>
                <c:pt idx="6">
                  <c:v>1.3926315789473684</c:v>
                </c:pt>
                <c:pt idx="7">
                  <c:v>1.7621052631578948</c:v>
                </c:pt>
                <c:pt idx="8">
                  <c:v>1.62</c:v>
                </c:pt>
                <c:pt idx="9">
                  <c:v>1.7336842105263159</c:v>
                </c:pt>
                <c:pt idx="10">
                  <c:v>1.7336842105263159</c:v>
                </c:pt>
                <c:pt idx="11">
                  <c:v>1.8473684210526315</c:v>
                </c:pt>
                <c:pt idx="12">
                  <c:v>1.7786842105263156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6-4CAF-A4E0-F3501B112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370752"/>
        <c:axId val="983373152"/>
      </c:barChart>
      <c:catAx>
        <c:axId val="9833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3152"/>
        <c:crosses val="autoZero"/>
        <c:auto val="1"/>
        <c:lblAlgn val="ctr"/>
        <c:lblOffset val="100"/>
        <c:noMultiLvlLbl val="0"/>
      </c:catAx>
      <c:valAx>
        <c:axId val="98337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เปรียบเทียบการใช้กระดาษต่อคนสะสมระหว่างปี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65-4A47-BBF7-0C906313CC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('2567'!$E$4,'2567'!$I$4)</c:f>
              <c:strCache>
                <c:ptCount val="2"/>
                <c:pt idx="0">
                  <c:v>(กิโลกรัม/คน) ปี2566</c:v>
                </c:pt>
                <c:pt idx="1">
                  <c:v>(กิโลกรัม/คน)ปี 2567</c:v>
                </c:pt>
              </c:strCache>
            </c:strRef>
          </c:cat>
          <c:val>
            <c:numRef>
              <c:f>('2567'!$E$18,'2567'!$I$18)</c:f>
              <c:numCache>
                <c:formatCode>_(* #,##0.00_);_(* \(#,##0.00\);_(* "-"??_);_(@_)</c:formatCode>
                <c:ptCount val="2"/>
                <c:pt idx="0">
                  <c:v>22.17446808510638</c:v>
                </c:pt>
                <c:pt idx="1">
                  <c:v>21.344210526315791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65-4A47-BBF7-0C906313C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707456"/>
        <c:axId val="984708416"/>
      </c:barChart>
      <c:catAx>
        <c:axId val="98470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08416"/>
        <c:crosses val="autoZero"/>
        <c:auto val="1"/>
        <c:lblAlgn val="ctr"/>
        <c:lblOffset val="100"/>
        <c:noMultiLvlLbl val="0"/>
      </c:catAx>
      <c:valAx>
        <c:axId val="9847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0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19</xdr:row>
      <xdr:rowOff>9525</xdr:rowOff>
    </xdr:from>
    <xdr:to>
      <xdr:col>8</xdr:col>
      <xdr:colOff>190500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CCA8FB00-9918-4603-87C7-27FE1C482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AB654966-E1FA-4E7F-982C-3D82AC096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504F3A6C-C377-4FA7-9F6D-12E75D74F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A5CC0BB4-3A27-48AB-98DE-2A730F53D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533853</xdr:colOff>
      <xdr:row>47</xdr:row>
      <xdr:rowOff>108858</xdr:rowOff>
    </xdr:from>
    <xdr:to>
      <xdr:col>3</xdr:col>
      <xdr:colOff>787180</xdr:colOff>
      <xdr:row>47</xdr:row>
      <xdr:rowOff>362858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1C6C2849-28A8-4BCB-8946-1B111FD77EED}"/>
            </a:ext>
          </a:extLst>
        </xdr:cNvPr>
        <xdr:cNvSpPr/>
      </xdr:nvSpPr>
      <xdr:spPr>
        <a:xfrm>
          <a:off x="2867478" y="14024883"/>
          <a:ext cx="253327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541111</xdr:colOff>
      <xdr:row>47</xdr:row>
      <xdr:rowOff>97974</xdr:rowOff>
    </xdr:from>
    <xdr:to>
      <xdr:col>6</xdr:col>
      <xdr:colOff>794439</xdr:colOff>
      <xdr:row>47</xdr:row>
      <xdr:rowOff>361743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CF4DA83B-88F2-4D57-90E1-ED0323DFF7EC}"/>
            </a:ext>
          </a:extLst>
        </xdr:cNvPr>
        <xdr:cNvSpPr/>
      </xdr:nvSpPr>
      <xdr:spPr>
        <a:xfrm>
          <a:off x="5275036" y="14013999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597354</xdr:colOff>
      <xdr:row>49</xdr:row>
      <xdr:rowOff>72573</xdr:rowOff>
    </xdr:from>
    <xdr:to>
      <xdr:col>3</xdr:col>
      <xdr:colOff>19937</xdr:colOff>
      <xdr:row>49</xdr:row>
      <xdr:rowOff>326573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F312B7EF-3B98-43DE-98DD-9F8413951EAD}"/>
            </a:ext>
          </a:extLst>
        </xdr:cNvPr>
        <xdr:cNvSpPr/>
      </xdr:nvSpPr>
      <xdr:spPr>
        <a:xfrm>
          <a:off x="2092779" y="15007773"/>
          <a:ext cx="26078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49</xdr:row>
      <xdr:rowOff>71213</xdr:rowOff>
    </xdr:from>
    <xdr:to>
      <xdr:col>5</xdr:col>
      <xdr:colOff>685582</xdr:colOff>
      <xdr:row>49</xdr:row>
      <xdr:rowOff>325213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870DEED7-F8A6-4BAB-99EF-F65CD986A7FE}"/>
            </a:ext>
          </a:extLst>
        </xdr:cNvPr>
        <xdr:cNvSpPr/>
      </xdr:nvSpPr>
      <xdr:spPr>
        <a:xfrm>
          <a:off x="4442279" y="150064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53</xdr:row>
      <xdr:rowOff>72573</xdr:rowOff>
    </xdr:from>
    <xdr:to>
      <xdr:col>2</xdr:col>
      <xdr:colOff>824158</xdr:colOff>
      <xdr:row>53</xdr:row>
      <xdr:rowOff>326573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8D39FCFD-41C6-4937-A2F8-10D0447BD947}"/>
            </a:ext>
          </a:extLst>
        </xdr:cNvPr>
        <xdr:cNvSpPr/>
      </xdr:nvSpPr>
      <xdr:spPr>
        <a:xfrm>
          <a:off x="2056040" y="172747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53</xdr:row>
      <xdr:rowOff>61688</xdr:rowOff>
    </xdr:from>
    <xdr:to>
      <xdr:col>5</xdr:col>
      <xdr:colOff>685582</xdr:colOff>
      <xdr:row>53</xdr:row>
      <xdr:rowOff>325457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282867F7-2D8A-4540-A1D0-D743F6B429AA}"/>
            </a:ext>
          </a:extLst>
        </xdr:cNvPr>
        <xdr:cNvSpPr/>
      </xdr:nvSpPr>
      <xdr:spPr>
        <a:xfrm>
          <a:off x="4442279" y="1726383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57</xdr:row>
      <xdr:rowOff>72573</xdr:rowOff>
    </xdr:from>
    <xdr:to>
      <xdr:col>2</xdr:col>
      <xdr:colOff>824158</xdr:colOff>
      <xdr:row>57</xdr:row>
      <xdr:rowOff>326573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8E8197E4-6B0F-4DD9-B610-5CAADA0D3D70}"/>
            </a:ext>
          </a:extLst>
        </xdr:cNvPr>
        <xdr:cNvSpPr/>
      </xdr:nvSpPr>
      <xdr:spPr>
        <a:xfrm>
          <a:off x="2056040" y="195416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57</xdr:row>
      <xdr:rowOff>61688</xdr:rowOff>
    </xdr:from>
    <xdr:to>
      <xdr:col>5</xdr:col>
      <xdr:colOff>685582</xdr:colOff>
      <xdr:row>57</xdr:row>
      <xdr:rowOff>325457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2C721238-7AFE-46C1-8ED4-E81B1A598365}"/>
            </a:ext>
          </a:extLst>
        </xdr:cNvPr>
        <xdr:cNvSpPr/>
      </xdr:nvSpPr>
      <xdr:spPr>
        <a:xfrm>
          <a:off x="4442279" y="1953078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61</xdr:row>
      <xdr:rowOff>72573</xdr:rowOff>
    </xdr:from>
    <xdr:to>
      <xdr:col>2</xdr:col>
      <xdr:colOff>824158</xdr:colOff>
      <xdr:row>61</xdr:row>
      <xdr:rowOff>326573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4B034537-7DF6-4158-A51E-0698539B491A}"/>
            </a:ext>
          </a:extLst>
        </xdr:cNvPr>
        <xdr:cNvSpPr/>
      </xdr:nvSpPr>
      <xdr:spPr>
        <a:xfrm>
          <a:off x="2056040" y="218086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61</xdr:row>
      <xdr:rowOff>61688</xdr:rowOff>
    </xdr:from>
    <xdr:to>
      <xdr:col>5</xdr:col>
      <xdr:colOff>685582</xdr:colOff>
      <xdr:row>61</xdr:row>
      <xdr:rowOff>325457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71AA0443-7382-4F17-AFDB-715743F1C7CD}"/>
            </a:ext>
          </a:extLst>
        </xdr:cNvPr>
        <xdr:cNvSpPr/>
      </xdr:nvSpPr>
      <xdr:spPr>
        <a:xfrm>
          <a:off x="4442279" y="2179773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65</xdr:row>
      <xdr:rowOff>63048</xdr:rowOff>
    </xdr:from>
    <xdr:to>
      <xdr:col>2</xdr:col>
      <xdr:colOff>824158</xdr:colOff>
      <xdr:row>65</xdr:row>
      <xdr:rowOff>326817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F9C0959D-405A-47D7-A0A2-63BF44F33319}"/>
            </a:ext>
          </a:extLst>
        </xdr:cNvPr>
        <xdr:cNvSpPr/>
      </xdr:nvSpPr>
      <xdr:spPr>
        <a:xfrm>
          <a:off x="2056040" y="2406604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65</xdr:row>
      <xdr:rowOff>61688</xdr:rowOff>
    </xdr:from>
    <xdr:to>
      <xdr:col>5</xdr:col>
      <xdr:colOff>685582</xdr:colOff>
      <xdr:row>65</xdr:row>
      <xdr:rowOff>315688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B0382512-F6E2-44E0-9F85-459A882BD839}"/>
            </a:ext>
          </a:extLst>
        </xdr:cNvPr>
        <xdr:cNvSpPr/>
      </xdr:nvSpPr>
      <xdr:spPr>
        <a:xfrm>
          <a:off x="4442279" y="2406468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69</xdr:row>
      <xdr:rowOff>63048</xdr:rowOff>
    </xdr:from>
    <xdr:to>
      <xdr:col>2</xdr:col>
      <xdr:colOff>824158</xdr:colOff>
      <xdr:row>69</xdr:row>
      <xdr:rowOff>326817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C876129B-762E-47EE-9071-D71E77E4742A}"/>
            </a:ext>
          </a:extLst>
        </xdr:cNvPr>
        <xdr:cNvSpPr/>
      </xdr:nvSpPr>
      <xdr:spPr>
        <a:xfrm>
          <a:off x="2056040" y="2633299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69</xdr:row>
      <xdr:rowOff>61688</xdr:rowOff>
    </xdr:from>
    <xdr:to>
      <xdr:col>5</xdr:col>
      <xdr:colOff>685582</xdr:colOff>
      <xdr:row>69</xdr:row>
      <xdr:rowOff>315688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41D5D6C7-913E-4AC0-8987-D0DD005909B2}"/>
            </a:ext>
          </a:extLst>
        </xdr:cNvPr>
        <xdr:cNvSpPr/>
      </xdr:nvSpPr>
      <xdr:spPr>
        <a:xfrm>
          <a:off x="4442279" y="2633163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73</xdr:row>
      <xdr:rowOff>72573</xdr:rowOff>
    </xdr:from>
    <xdr:to>
      <xdr:col>2</xdr:col>
      <xdr:colOff>824158</xdr:colOff>
      <xdr:row>73</xdr:row>
      <xdr:rowOff>326573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E0868882-9155-4E1C-9E12-587F5EFC18F8}"/>
            </a:ext>
          </a:extLst>
        </xdr:cNvPr>
        <xdr:cNvSpPr/>
      </xdr:nvSpPr>
      <xdr:spPr>
        <a:xfrm>
          <a:off x="2056040" y="286094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73</xdr:row>
      <xdr:rowOff>71213</xdr:rowOff>
    </xdr:from>
    <xdr:to>
      <xdr:col>5</xdr:col>
      <xdr:colOff>685582</xdr:colOff>
      <xdr:row>73</xdr:row>
      <xdr:rowOff>325213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1596EDB0-5478-47D1-A3F5-B87FCE27534B}"/>
            </a:ext>
          </a:extLst>
        </xdr:cNvPr>
        <xdr:cNvSpPr/>
      </xdr:nvSpPr>
      <xdr:spPr>
        <a:xfrm>
          <a:off x="4442279" y="286081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77</xdr:row>
      <xdr:rowOff>72573</xdr:rowOff>
    </xdr:from>
    <xdr:to>
      <xdr:col>2</xdr:col>
      <xdr:colOff>824158</xdr:colOff>
      <xdr:row>77</xdr:row>
      <xdr:rowOff>326573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57442435-D9FA-4D52-A865-4B0274EB3F74}"/>
            </a:ext>
          </a:extLst>
        </xdr:cNvPr>
        <xdr:cNvSpPr/>
      </xdr:nvSpPr>
      <xdr:spPr>
        <a:xfrm>
          <a:off x="2056040" y="30504948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77</xdr:row>
      <xdr:rowOff>61688</xdr:rowOff>
    </xdr:from>
    <xdr:to>
      <xdr:col>5</xdr:col>
      <xdr:colOff>685582</xdr:colOff>
      <xdr:row>77</xdr:row>
      <xdr:rowOff>325457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CF666504-A6EF-45F2-9749-8CDF4F81600E}"/>
            </a:ext>
          </a:extLst>
        </xdr:cNvPr>
        <xdr:cNvSpPr/>
      </xdr:nvSpPr>
      <xdr:spPr>
        <a:xfrm>
          <a:off x="4442279" y="30494063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81</xdr:row>
      <xdr:rowOff>72573</xdr:rowOff>
    </xdr:from>
    <xdr:to>
      <xdr:col>2</xdr:col>
      <xdr:colOff>824158</xdr:colOff>
      <xdr:row>81</xdr:row>
      <xdr:rowOff>326573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6A0A8EA7-08A0-48C9-95E0-112FD6D77EF6}"/>
            </a:ext>
          </a:extLst>
        </xdr:cNvPr>
        <xdr:cNvSpPr/>
      </xdr:nvSpPr>
      <xdr:spPr>
        <a:xfrm>
          <a:off x="2056040" y="324004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81</xdr:row>
      <xdr:rowOff>71213</xdr:rowOff>
    </xdr:from>
    <xdr:to>
      <xdr:col>5</xdr:col>
      <xdr:colOff>685582</xdr:colOff>
      <xdr:row>81</xdr:row>
      <xdr:rowOff>325213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233B0ADF-3793-40B9-A9A0-3DCC6288ABA0}"/>
            </a:ext>
          </a:extLst>
        </xdr:cNvPr>
        <xdr:cNvSpPr/>
      </xdr:nvSpPr>
      <xdr:spPr>
        <a:xfrm>
          <a:off x="4442279" y="323990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85</xdr:row>
      <xdr:rowOff>63048</xdr:rowOff>
    </xdr:from>
    <xdr:to>
      <xdr:col>2</xdr:col>
      <xdr:colOff>824158</xdr:colOff>
      <xdr:row>85</xdr:row>
      <xdr:rowOff>326817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102BA436-A029-4996-BBDB-AA37A5301BB1}"/>
            </a:ext>
          </a:extLst>
        </xdr:cNvPr>
        <xdr:cNvSpPr/>
      </xdr:nvSpPr>
      <xdr:spPr>
        <a:xfrm>
          <a:off x="2056040" y="34286373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85</xdr:row>
      <xdr:rowOff>61688</xdr:rowOff>
    </xdr:from>
    <xdr:to>
      <xdr:col>5</xdr:col>
      <xdr:colOff>685582</xdr:colOff>
      <xdr:row>85</xdr:row>
      <xdr:rowOff>315688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935B02C8-BFF3-4BFB-8165-4282EF4C3F22}"/>
            </a:ext>
          </a:extLst>
        </xdr:cNvPr>
        <xdr:cNvSpPr/>
      </xdr:nvSpPr>
      <xdr:spPr>
        <a:xfrm>
          <a:off x="4442279" y="342850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89</xdr:row>
      <xdr:rowOff>72573</xdr:rowOff>
    </xdr:from>
    <xdr:to>
      <xdr:col>2</xdr:col>
      <xdr:colOff>824158</xdr:colOff>
      <xdr:row>89</xdr:row>
      <xdr:rowOff>326573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FA32441A-7BEC-437F-8573-6FC3FCE40744}"/>
            </a:ext>
          </a:extLst>
        </xdr:cNvPr>
        <xdr:cNvSpPr/>
      </xdr:nvSpPr>
      <xdr:spPr>
        <a:xfrm>
          <a:off x="2056040" y="361913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89</xdr:row>
      <xdr:rowOff>61688</xdr:rowOff>
    </xdr:from>
    <xdr:to>
      <xdr:col>5</xdr:col>
      <xdr:colOff>685582</xdr:colOff>
      <xdr:row>89</xdr:row>
      <xdr:rowOff>325457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57D02284-D30B-4C67-A988-8F10E850249F}"/>
            </a:ext>
          </a:extLst>
        </xdr:cNvPr>
        <xdr:cNvSpPr/>
      </xdr:nvSpPr>
      <xdr:spPr>
        <a:xfrm>
          <a:off x="4442279" y="3618048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93</xdr:row>
      <xdr:rowOff>63048</xdr:rowOff>
    </xdr:from>
    <xdr:to>
      <xdr:col>2</xdr:col>
      <xdr:colOff>824158</xdr:colOff>
      <xdr:row>93</xdr:row>
      <xdr:rowOff>326817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7A0CD14E-2D81-41B2-90F5-C9B71C754EA2}"/>
            </a:ext>
          </a:extLst>
        </xdr:cNvPr>
        <xdr:cNvSpPr/>
      </xdr:nvSpPr>
      <xdr:spPr>
        <a:xfrm>
          <a:off x="2056040" y="38077323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93</xdr:row>
      <xdr:rowOff>61688</xdr:rowOff>
    </xdr:from>
    <xdr:to>
      <xdr:col>5</xdr:col>
      <xdr:colOff>685582</xdr:colOff>
      <xdr:row>93</xdr:row>
      <xdr:rowOff>315688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091D4E7D-0BE6-48AB-B3F9-DA03BB832403}"/>
            </a:ext>
          </a:extLst>
        </xdr:cNvPr>
        <xdr:cNvSpPr/>
      </xdr:nvSpPr>
      <xdr:spPr>
        <a:xfrm>
          <a:off x="4442279" y="380759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8994D0DE-A675-426A-9C16-FB944D6AF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F85404B0-A15B-44B8-AEDB-4C3D0FF8FBB1}"/>
            </a:ext>
            <a:ext uri="{147F2762-F138-4A5C-976F-8EAC2B608ADB}">
              <a16:predDERef xmlns:a16="http://schemas.microsoft.com/office/drawing/2014/main" pred="{B56A92B3-61E6-4923-A366-6178EBF1F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4B83328E-53BE-4D97-9529-826B79F19A6D}"/>
            </a:ext>
            <a:ext uri="{147F2762-F138-4A5C-976F-8EAC2B608ADB}">
              <a16:predDERef xmlns:a16="http://schemas.microsoft.com/office/drawing/2014/main" pred="{B31F2F5B-3002-48C5-A694-686B0C3FD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1D0DEB83-430C-4AC2-B44C-A8F3FDDC167E}"/>
            </a:ext>
            <a:ext uri="{147F2762-F138-4A5C-976F-8EAC2B608ADB}">
              <a16:predDERef xmlns:a16="http://schemas.microsoft.com/office/drawing/2014/main" pred="{922F2801-D2BE-48F5-BAC3-F0A92134B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29765</xdr:colOff>
      <xdr:row>18</xdr:row>
      <xdr:rowOff>271462</xdr:rowOff>
    </xdr:from>
    <xdr:to>
      <xdr:col>8</xdr:col>
      <xdr:colOff>226218</xdr:colOff>
      <xdr:row>30</xdr:row>
      <xdr:rowOff>95248</xdr:rowOff>
    </xdr:to>
    <xdr:graphicFrame macro="">
      <xdr:nvGraphicFramePr>
        <xdr:cNvPr id="6" name="แผนภูมิ 1">
          <a:extLst>
            <a:ext uri="{FF2B5EF4-FFF2-40B4-BE49-F238E27FC236}">
              <a16:creationId xmlns:a16="http://schemas.microsoft.com/office/drawing/2014/main" id="{0E908CAE-9BAD-4A47-A602-4D5BB467D954}"/>
            </a:ext>
            <a:ext uri="{147F2762-F138-4A5C-976F-8EAC2B608ADB}">
              <a16:predDERef xmlns:a16="http://schemas.microsoft.com/office/drawing/2014/main" pred="{ACB652B2-25E3-44FC-A758-118624682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279795</xdr:colOff>
      <xdr:row>19</xdr:row>
      <xdr:rowOff>45243</xdr:rowOff>
    </xdr:from>
    <xdr:to>
      <xdr:col>11</xdr:col>
      <xdr:colOff>583406</xdr:colOff>
      <xdr:row>30</xdr:row>
      <xdr:rowOff>107156</xdr:rowOff>
    </xdr:to>
    <xdr:graphicFrame macro="">
      <xdr:nvGraphicFramePr>
        <xdr:cNvPr id="7" name="แผนภูมิ 2">
          <a:extLst>
            <a:ext uri="{FF2B5EF4-FFF2-40B4-BE49-F238E27FC236}">
              <a16:creationId xmlns:a16="http://schemas.microsoft.com/office/drawing/2014/main" id="{35AC2297-530E-4A93-8A04-DDB5D7DC8628}"/>
            </a:ext>
            <a:ext uri="{147F2762-F138-4A5C-976F-8EAC2B608ADB}">
              <a16:predDERef xmlns:a16="http://schemas.microsoft.com/office/drawing/2014/main" pred="{330C5B64-4869-4C75-BF93-01A0579E2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47624</xdr:colOff>
      <xdr:row>30</xdr:row>
      <xdr:rowOff>152399</xdr:rowOff>
    </xdr:from>
    <xdr:to>
      <xdr:col>8</xdr:col>
      <xdr:colOff>226218</xdr:colOff>
      <xdr:row>41</xdr:row>
      <xdr:rowOff>107155</xdr:rowOff>
    </xdr:to>
    <xdr:graphicFrame macro="">
      <xdr:nvGraphicFramePr>
        <xdr:cNvPr id="8" name="แผนภูมิ 3">
          <a:extLst>
            <a:ext uri="{FF2B5EF4-FFF2-40B4-BE49-F238E27FC236}">
              <a16:creationId xmlns:a16="http://schemas.microsoft.com/office/drawing/2014/main" id="{A5EE5DDF-F938-4AC9-B797-3394C6D09EB3}"/>
            </a:ext>
            <a:ext uri="{147F2762-F138-4A5C-976F-8EAC2B608ADB}">
              <a16:predDERef xmlns:a16="http://schemas.microsoft.com/office/drawing/2014/main" pred="{84CB7D88-6348-46D9-97BA-D85C012C4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261936</xdr:colOff>
      <xdr:row>30</xdr:row>
      <xdr:rowOff>152400</xdr:rowOff>
    </xdr:from>
    <xdr:to>
      <xdr:col>12</xdr:col>
      <xdr:colOff>1</xdr:colOff>
      <xdr:row>41</xdr:row>
      <xdr:rowOff>95250</xdr:rowOff>
    </xdr:to>
    <xdr:graphicFrame macro="">
      <xdr:nvGraphicFramePr>
        <xdr:cNvPr id="9" name="แผนภูมิ 4">
          <a:extLst>
            <a:ext uri="{FF2B5EF4-FFF2-40B4-BE49-F238E27FC236}">
              <a16:creationId xmlns:a16="http://schemas.microsoft.com/office/drawing/2014/main" id="{A34B8646-8A64-49A6-ADDE-4DE532D90881}"/>
            </a:ext>
            <a:ext uri="{147F2762-F138-4A5C-976F-8EAC2B608ADB}">
              <a16:predDERef xmlns:a16="http://schemas.microsoft.com/office/drawing/2014/main" pred="{8E2B4231-2C30-4CCF-BCEB-720F7F96C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62001781-3000-4C4C-973A-A4AA56117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974462D9-6978-4870-A318-2E42BC615772}"/>
            </a:ext>
            <a:ext uri="{147F2762-F138-4A5C-976F-8EAC2B608ADB}">
              <a16:predDERef xmlns:a16="http://schemas.microsoft.com/office/drawing/2014/main" pred="{41DC6174-C5F9-0C4F-BC2F-B2A0A15B1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E478945E-E25E-4807-8298-CA884CFE7118}"/>
            </a:ext>
            <a:ext uri="{147F2762-F138-4A5C-976F-8EAC2B608ADB}">
              <a16:predDERef xmlns:a16="http://schemas.microsoft.com/office/drawing/2014/main" pred="{F34CD2EA-0EA6-23E5-3A0F-A5504DDCB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7F0F69C6-087B-4624-9352-CE925ADE9365}"/>
            </a:ext>
            <a:ext uri="{147F2762-F138-4A5C-976F-8EAC2B608ADB}">
              <a16:predDERef xmlns:a16="http://schemas.microsoft.com/office/drawing/2014/main" pred="{878EAB4B-476A-73D1-64FE-619685495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29765</xdr:colOff>
      <xdr:row>18</xdr:row>
      <xdr:rowOff>271462</xdr:rowOff>
    </xdr:from>
    <xdr:to>
      <xdr:col>8</xdr:col>
      <xdr:colOff>226218</xdr:colOff>
      <xdr:row>30</xdr:row>
      <xdr:rowOff>95248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56D7D10D-175D-465A-A68D-1F2918C4F6CE}"/>
            </a:ext>
            <a:ext uri="{147F2762-F138-4A5C-976F-8EAC2B608ADB}">
              <a16:predDERef xmlns:a16="http://schemas.microsoft.com/office/drawing/2014/main" pred="{F5097530-78C0-51F8-DAE8-38F24008A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279795</xdr:colOff>
      <xdr:row>19</xdr:row>
      <xdr:rowOff>45243</xdr:rowOff>
    </xdr:from>
    <xdr:to>
      <xdr:col>11</xdr:col>
      <xdr:colOff>583406</xdr:colOff>
      <xdr:row>30</xdr:row>
      <xdr:rowOff>107156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BB72CFB8-6CDD-49FA-B029-B32A1157BB92}"/>
            </a:ext>
            <a:ext uri="{147F2762-F138-4A5C-976F-8EAC2B608ADB}">
              <a16:predDERef xmlns:a16="http://schemas.microsoft.com/office/drawing/2014/main" pred="{3A87619C-0CE2-58D0-8486-9C25182BF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47624</xdr:colOff>
      <xdr:row>30</xdr:row>
      <xdr:rowOff>152399</xdr:rowOff>
    </xdr:from>
    <xdr:to>
      <xdr:col>8</xdr:col>
      <xdr:colOff>226218</xdr:colOff>
      <xdr:row>41</xdr:row>
      <xdr:rowOff>107155</xdr:rowOff>
    </xdr:to>
    <xdr:graphicFrame macro="">
      <xdr:nvGraphicFramePr>
        <xdr:cNvPr id="8" name="แผนภูมิ 7">
          <a:extLst>
            <a:ext uri="{FF2B5EF4-FFF2-40B4-BE49-F238E27FC236}">
              <a16:creationId xmlns:a16="http://schemas.microsoft.com/office/drawing/2014/main" id="{B319DDC1-A699-4B2A-8D23-19A03D7645B1}"/>
            </a:ext>
            <a:ext uri="{147F2762-F138-4A5C-976F-8EAC2B608ADB}">
              <a16:predDERef xmlns:a16="http://schemas.microsoft.com/office/drawing/2014/main" pred="{03565AEA-B474-7324-781C-52B4479B4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261936</xdr:colOff>
      <xdr:row>30</xdr:row>
      <xdr:rowOff>152400</xdr:rowOff>
    </xdr:from>
    <xdr:to>
      <xdr:col>12</xdr:col>
      <xdr:colOff>1</xdr:colOff>
      <xdr:row>41</xdr:row>
      <xdr:rowOff>95250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8C054E48-DCB0-4582-B7D1-CD389DFE4055}"/>
            </a:ext>
            <a:ext uri="{147F2762-F138-4A5C-976F-8EAC2B608ADB}">
              <a16:predDERef xmlns:a16="http://schemas.microsoft.com/office/drawing/2014/main" pred="{0F253F72-6698-4E19-6619-E47A63712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ProjectAI\goffice2026\onedrive\greenoffice\2568\3.2(1)&#3586;&#3657;&#3629;&#3617;&#3641;&#3621;&#3611;&#3619;&#3636;&#3617;&#3634;&#3603;&#3585;&#3634;&#3619;&#3651;&#3594;&#3657;&#3585;&#3619;&#3632;&#3604;&#3634;&#3625;1.xlsx" TargetMode="External"/><Relationship Id="rId1" Type="http://schemas.openxmlformats.org/officeDocument/2006/relationships/externalLinkPath" Target="file:///G:\ProjectAI\goffice2026\onedrive\greenoffice\2568\3.2(1)&#3586;&#3657;&#3629;&#3617;&#3641;&#3621;&#3611;&#3619;&#3636;&#3617;&#3634;&#3603;&#3585;&#3634;&#3619;&#3651;&#3594;&#3657;&#3585;&#3619;&#3632;&#3604;&#3634;&#3625;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umpon_mju_ac_th/Documents/Green/&#3614;&#3619;&#3632;&#3648;&#3607;&#3614;/&#3615;&#3629;&#3619;&#3660;&#3617;&#3651;&#3627;&#3617;&#3656;/&#3627;&#3617;&#3623;&#3604;%203%20&#3586;&#3657;&#3629;%203.1(1)%20&#3610;&#3633;&#3609;&#3607;&#3638;&#3585;&#3585;&#3634;&#3619;&#3651;&#3594;&#3657;&#3652;&#3615;&#3615;&#3657;&#3634;&#3649;&#3621;&#3632;&#3648;&#3594;&#3639;&#3657;&#3629;&#3648;&#3614;&#3621;&#3636;(2).xls" TargetMode="External"/><Relationship Id="rId1" Type="http://schemas.openxmlformats.org/officeDocument/2006/relationships/externalLinkPath" Target="/personal/jumpon_mju_ac_th/Documents/Green/&#3614;&#3619;&#3632;&#3648;&#3607;&#3614;/&#3615;&#3629;&#3619;&#3660;&#3617;&#3651;&#3627;&#3617;&#3656;/&#3627;&#3617;&#3623;&#3604;%203%20&#3586;&#3657;&#3629;%203.1(1)%20&#3610;&#3633;&#3609;&#3607;&#3638;&#3585;&#3585;&#3634;&#3619;&#3651;&#3594;&#3657;&#3652;&#3615;&#3615;&#3657;&#3634;&#3649;&#3621;&#3632;&#3648;&#3594;&#3639;&#3657;&#3629;&#3648;&#3614;&#3621;&#3636;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use"/>
      <sheetName val="แต่ละหน่วยงาน"/>
      <sheetName val="2567"/>
      <sheetName val="2568"/>
      <sheetName val="2569"/>
    </sheetNames>
    <sheetDataSet>
      <sheetData sheetId="0" refreshError="1"/>
      <sheetData sheetId="1">
        <row r="88">
          <cell r="I88">
            <v>132.30000000000001</v>
          </cell>
          <cell r="J88">
            <v>167.4</v>
          </cell>
          <cell r="K88">
            <v>153.9</v>
          </cell>
          <cell r="L88">
            <v>164.70000000000002</v>
          </cell>
          <cell r="M88">
            <v>164.70000000000002</v>
          </cell>
          <cell r="N88">
            <v>175.5</v>
          </cell>
        </row>
        <row r="108">
          <cell r="C108">
            <v>194.39999999999998</v>
          </cell>
          <cell r="D108">
            <v>175.5</v>
          </cell>
          <cell r="E108">
            <v>245.70000000000002</v>
          </cell>
          <cell r="F108">
            <v>189</v>
          </cell>
          <cell r="G108">
            <v>126.90000000000002</v>
          </cell>
          <cell r="H108">
            <v>183.6</v>
          </cell>
          <cell r="I108">
            <v>159.30000000000001</v>
          </cell>
          <cell r="J108">
            <v>206.55</v>
          </cell>
          <cell r="K108">
            <v>198.45000000000002</v>
          </cell>
          <cell r="L108">
            <v>140.4</v>
          </cell>
          <cell r="M108">
            <v>213.3</v>
          </cell>
          <cell r="N108">
            <v>164.70000000000002</v>
          </cell>
        </row>
      </sheetData>
      <sheetData sheetId="2">
        <row r="4">
          <cell r="C4" t="str">
            <v xml:space="preserve"> (กิโลกรัม) ปี2566</v>
          </cell>
          <cell r="E4" t="str">
            <v>(กิโลกรัม/คน) ปี2566</v>
          </cell>
          <cell r="G4" t="str">
            <v>(กิโลกรัม) ปี 2567</v>
          </cell>
          <cell r="I4" t="str">
            <v>(กิโลกรัม/คน)ปี 2567</v>
          </cell>
        </row>
        <row r="5">
          <cell r="A5" t="str">
            <v>ม.ค.</v>
          </cell>
          <cell r="C5">
            <v>105.3</v>
          </cell>
          <cell r="E5">
            <v>1.1202127659574468</v>
          </cell>
          <cell r="G5">
            <v>202.5</v>
          </cell>
          <cell r="I5">
            <v>2.1315789473684212</v>
          </cell>
        </row>
        <row r="6">
          <cell r="A6" t="str">
            <v>ก.พ.</v>
          </cell>
          <cell r="C6">
            <v>162</v>
          </cell>
          <cell r="E6">
            <v>1.7234042553191489</v>
          </cell>
          <cell r="G6">
            <v>226.8</v>
          </cell>
          <cell r="I6">
            <v>2.3873684210526318</v>
          </cell>
        </row>
        <row r="7">
          <cell r="A7" t="str">
            <v>มี.ค.</v>
          </cell>
          <cell r="C7">
            <v>172.8</v>
          </cell>
          <cell r="E7">
            <v>1.8382978723404257</v>
          </cell>
          <cell r="G7">
            <v>224.1</v>
          </cell>
          <cell r="I7">
            <v>2.3589473684210525</v>
          </cell>
        </row>
        <row r="8">
          <cell r="A8" t="str">
            <v>เม.ย.</v>
          </cell>
          <cell r="C8">
            <v>116.1</v>
          </cell>
          <cell r="E8">
            <v>1.2351063829787234</v>
          </cell>
          <cell r="G8">
            <v>91.8</v>
          </cell>
          <cell r="I8">
            <v>0.96631578947368413</v>
          </cell>
        </row>
        <row r="9">
          <cell r="A9" t="str">
            <v>พ.ค.</v>
          </cell>
          <cell r="C9">
            <v>132.30000000000001</v>
          </cell>
          <cell r="E9">
            <v>1.4074468085106384</v>
          </cell>
          <cell r="G9">
            <v>151.19999999999999</v>
          </cell>
          <cell r="I9">
            <v>1.591578947368421</v>
          </cell>
        </row>
        <row r="10">
          <cell r="A10" t="str">
            <v>มิ.ย.</v>
          </cell>
          <cell r="C10">
            <v>105.3</v>
          </cell>
          <cell r="E10">
            <v>1.1202127659574468</v>
          </cell>
          <cell r="G10">
            <v>172.8</v>
          </cell>
          <cell r="I10">
            <v>1.8189473684210526</v>
          </cell>
        </row>
        <row r="11">
          <cell r="A11" t="str">
            <v>ก.ค.</v>
          </cell>
          <cell r="C11">
            <v>108</v>
          </cell>
          <cell r="E11">
            <v>1.1489361702127661</v>
          </cell>
          <cell r="G11">
            <v>132.30000000000001</v>
          </cell>
          <cell r="I11">
            <v>1.3926315789473684</v>
          </cell>
        </row>
        <row r="12">
          <cell r="A12" t="str">
            <v>ส.ค.</v>
          </cell>
          <cell r="C12">
            <v>170.1</v>
          </cell>
          <cell r="E12">
            <v>1.8095744680851062</v>
          </cell>
          <cell r="G12">
            <v>167.4</v>
          </cell>
          <cell r="I12">
            <v>1.7621052631578948</v>
          </cell>
        </row>
        <row r="13">
          <cell r="A13" t="str">
            <v>ก.ย.</v>
          </cell>
          <cell r="C13">
            <v>140.4</v>
          </cell>
          <cell r="E13">
            <v>1.4936170212765958</v>
          </cell>
          <cell r="G13">
            <v>153.9</v>
          </cell>
          <cell r="I13">
            <v>1.62</v>
          </cell>
        </row>
        <row r="14">
          <cell r="A14" t="str">
            <v>ต.ค.</v>
          </cell>
          <cell r="C14">
            <v>189</v>
          </cell>
          <cell r="E14">
            <v>2.0106382978723403</v>
          </cell>
          <cell r="G14">
            <v>164.70000000000002</v>
          </cell>
          <cell r="I14">
            <v>1.7336842105263159</v>
          </cell>
        </row>
        <row r="15">
          <cell r="A15" t="str">
            <v>พ.ย.</v>
          </cell>
          <cell r="C15">
            <v>305.10000000000002</v>
          </cell>
          <cell r="E15">
            <v>3.2457446808510642</v>
          </cell>
          <cell r="G15">
            <v>164.70000000000002</v>
          </cell>
          <cell r="I15">
            <v>1.7336842105263159</v>
          </cell>
        </row>
        <row r="16">
          <cell r="A16" t="str">
            <v>ธ.ค.</v>
          </cell>
          <cell r="C16">
            <v>378</v>
          </cell>
          <cell r="E16">
            <v>4.0212765957446805</v>
          </cell>
          <cell r="G16">
            <v>175.5</v>
          </cell>
          <cell r="I16">
            <v>1.8473684210526315</v>
          </cell>
        </row>
        <row r="17">
          <cell r="A17" t="str">
            <v>เฉลี่ย</v>
          </cell>
          <cell r="C17">
            <v>173.70000000000002</v>
          </cell>
          <cell r="E17">
            <v>1.8478723404255317</v>
          </cell>
          <cell r="G17">
            <v>168.97499999999999</v>
          </cell>
          <cell r="I17">
            <v>1.7786842105263156</v>
          </cell>
        </row>
        <row r="18">
          <cell r="C18">
            <v>2084.4</v>
          </cell>
          <cell r="E18">
            <v>22.17446808510638</v>
          </cell>
          <cell r="G18">
            <v>2027.7</v>
          </cell>
          <cell r="I18">
            <v>21.344210526315791</v>
          </cell>
        </row>
      </sheetData>
      <sheetData sheetId="3">
        <row r="4">
          <cell r="C4" t="str">
            <v xml:space="preserve"> (กิโลกรัม) ปี2567</v>
          </cell>
          <cell r="E4" t="str">
            <v>(กิโลกรัม/คน) ปี2567</v>
          </cell>
          <cell r="G4" t="str">
            <v>(กิโลกรัม) ปี 2568</v>
          </cell>
          <cell r="I4" t="str">
            <v>(กิโลกรัม/คน)ปี 2568</v>
          </cell>
        </row>
        <row r="5">
          <cell r="A5" t="str">
            <v>ม.ค.</v>
          </cell>
          <cell r="C5">
            <v>202.5</v>
          </cell>
          <cell r="E5">
            <v>2.1315789473684212</v>
          </cell>
          <cell r="F5">
            <v>95</v>
          </cell>
          <cell r="G5">
            <v>194.39999999999998</v>
          </cell>
          <cell r="H5">
            <v>8351.9999999994234</v>
          </cell>
          <cell r="I5">
            <v>2.0463157894736841</v>
          </cell>
        </row>
        <row r="6">
          <cell r="A6" t="str">
            <v>ก.พ.</v>
          </cell>
          <cell r="C6">
            <v>226.8</v>
          </cell>
          <cell r="E6">
            <v>2.3873684210526318</v>
          </cell>
          <cell r="F6">
            <v>95</v>
          </cell>
          <cell r="G6">
            <v>175.5</v>
          </cell>
          <cell r="H6">
            <v>7539.9999999994798</v>
          </cell>
          <cell r="I6">
            <v>1.8473684210526315</v>
          </cell>
        </row>
        <row r="7">
          <cell r="A7" t="str">
            <v>มี.ค.</v>
          </cell>
          <cell r="C7">
            <v>224.1</v>
          </cell>
          <cell r="E7">
            <v>2.3589473684210525</v>
          </cell>
          <cell r="F7">
            <v>95</v>
          </cell>
          <cell r="G7">
            <v>245.70000000000002</v>
          </cell>
          <cell r="H7">
            <v>10555.999999999272</v>
          </cell>
          <cell r="I7">
            <v>2.5863157894736846</v>
          </cell>
        </row>
        <row r="8">
          <cell r="A8" t="str">
            <v>เม.ย.</v>
          </cell>
          <cell r="C8">
            <v>91.8</v>
          </cell>
          <cell r="E8">
            <v>0.96631578947368413</v>
          </cell>
          <cell r="F8">
            <v>95</v>
          </cell>
          <cell r="G8">
            <v>189</v>
          </cell>
          <cell r="H8">
            <v>8119.9999999994398</v>
          </cell>
          <cell r="I8">
            <v>1.9894736842105263</v>
          </cell>
        </row>
        <row r="9">
          <cell r="A9" t="str">
            <v>พ.ค.</v>
          </cell>
          <cell r="C9">
            <v>151.19999999999999</v>
          </cell>
          <cell r="E9">
            <v>1.591578947368421</v>
          </cell>
          <cell r="F9">
            <v>95</v>
          </cell>
          <cell r="G9">
            <v>126.90000000000002</v>
          </cell>
          <cell r="H9">
            <v>5451.9999999996244</v>
          </cell>
          <cell r="I9">
            <v>1.3357894736842106</v>
          </cell>
        </row>
        <row r="10">
          <cell r="A10" t="str">
            <v>มิ.ย.</v>
          </cell>
          <cell r="C10">
            <v>172.8</v>
          </cell>
          <cell r="E10">
            <v>1.8189473684210526</v>
          </cell>
          <cell r="F10">
            <v>95</v>
          </cell>
          <cell r="G10">
            <v>183.6</v>
          </cell>
          <cell r="H10">
            <v>7887.9999999994552</v>
          </cell>
          <cell r="I10">
            <v>1.9326315789473683</v>
          </cell>
        </row>
        <row r="11">
          <cell r="A11" t="str">
            <v>ก.ค.</v>
          </cell>
          <cell r="C11">
            <v>132.30000000000001</v>
          </cell>
          <cell r="E11">
            <v>1.3926315789473684</v>
          </cell>
          <cell r="F11">
            <v>95</v>
          </cell>
          <cell r="G11">
            <v>159.30000000000001</v>
          </cell>
          <cell r="H11">
            <v>6843.999999999528</v>
          </cell>
          <cell r="I11">
            <v>1.6768421052631579</v>
          </cell>
        </row>
        <row r="12">
          <cell r="A12" t="str">
            <v>ส.ค.</v>
          </cell>
          <cell r="C12">
            <v>167.4</v>
          </cell>
          <cell r="E12">
            <v>1.7621052631578948</v>
          </cell>
          <cell r="F12">
            <v>95</v>
          </cell>
          <cell r="G12">
            <v>206.55</v>
          </cell>
          <cell r="H12">
            <v>8873.9999999993888</v>
          </cell>
          <cell r="I12">
            <v>2.1742105263157896</v>
          </cell>
        </row>
        <row r="13">
          <cell r="A13" t="str">
            <v>ก.ย.</v>
          </cell>
          <cell r="C13">
            <v>153.9</v>
          </cell>
          <cell r="E13">
            <v>1.62</v>
          </cell>
          <cell r="F13">
            <v>95</v>
          </cell>
          <cell r="G13">
            <v>198.45000000000002</v>
          </cell>
          <cell r="H13">
            <v>8525.9999999994125</v>
          </cell>
          <cell r="I13">
            <v>2.0889473684210529</v>
          </cell>
        </row>
        <row r="14">
          <cell r="A14" t="str">
            <v>ต.ค.</v>
          </cell>
          <cell r="C14">
            <v>164.70000000000002</v>
          </cell>
          <cell r="E14">
            <v>1.7336842105263159</v>
          </cell>
          <cell r="F14">
            <v>95</v>
          </cell>
          <cell r="G14">
            <v>140.4</v>
          </cell>
          <cell r="H14">
            <v>6031.9999999995844</v>
          </cell>
          <cell r="I14">
            <v>1.4778947368421054</v>
          </cell>
        </row>
        <row r="15">
          <cell r="A15" t="str">
            <v>พ.ย.</v>
          </cell>
          <cell r="C15">
            <v>183.60000000000002</v>
          </cell>
          <cell r="E15">
            <v>1.9326315789473687</v>
          </cell>
          <cell r="F15">
            <v>95</v>
          </cell>
          <cell r="G15">
            <v>213.3</v>
          </cell>
          <cell r="H15">
            <v>9163.9999999993688</v>
          </cell>
          <cell r="I15">
            <v>2.2452631578947368</v>
          </cell>
        </row>
        <row r="16">
          <cell r="A16" t="str">
            <v>ธ.ค.</v>
          </cell>
          <cell r="C16">
            <v>210.60000000000002</v>
          </cell>
          <cell r="E16">
            <v>2.2168421052631579</v>
          </cell>
          <cell r="F16">
            <v>95</v>
          </cell>
          <cell r="G16">
            <v>164.70000000000002</v>
          </cell>
          <cell r="H16">
            <v>7075.9999999995125</v>
          </cell>
          <cell r="I16">
            <v>1.7336842105263159</v>
          </cell>
        </row>
        <row r="17">
          <cell r="A17" t="str">
            <v>เฉลี่ย</v>
          </cell>
          <cell r="C17">
            <v>173.47499999999999</v>
          </cell>
          <cell r="E17">
            <v>1.8260526315789474</v>
          </cell>
          <cell r="G17">
            <v>183.14999999999998</v>
          </cell>
          <cell r="I17">
            <v>1.9278947368421051</v>
          </cell>
        </row>
        <row r="18">
          <cell r="C18">
            <v>2081.6999999999998</v>
          </cell>
          <cell r="E18">
            <v>21.912631578947369</v>
          </cell>
          <cell r="G18">
            <v>2197.7999999999997</v>
          </cell>
          <cell r="I18">
            <v>23.134736842105266</v>
          </cell>
        </row>
      </sheetData>
      <sheetData sheetId="4">
        <row r="4">
          <cell r="C4" t="str">
            <v xml:space="preserve"> (รีม)ปี2568</v>
          </cell>
          <cell r="E4" t="str">
            <v>(รีม/คน) ปี2568</v>
          </cell>
          <cell r="G4" t="str">
            <v>(รีม) ปี 2569</v>
          </cell>
          <cell r="I4" t="str">
            <v>(รีม/คน) ปี 2569</v>
          </cell>
        </row>
        <row r="5">
          <cell r="A5" t="str">
            <v>ม.ค.</v>
          </cell>
          <cell r="C5">
            <v>194.39999999999998</v>
          </cell>
          <cell r="E5">
            <v>2.0463157894736841</v>
          </cell>
          <cell r="I5">
            <v>0</v>
          </cell>
        </row>
        <row r="6">
          <cell r="A6" t="str">
            <v>ก.พ.</v>
          </cell>
          <cell r="C6">
            <v>175.5</v>
          </cell>
          <cell r="E6">
            <v>1.8473684210526315</v>
          </cell>
          <cell r="I6" t="str">
            <v>-</v>
          </cell>
        </row>
        <row r="7">
          <cell r="A7" t="str">
            <v>มี.ค.</v>
          </cell>
          <cell r="C7">
            <v>245.70000000000002</v>
          </cell>
          <cell r="E7">
            <v>2.5863157894736846</v>
          </cell>
          <cell r="I7">
            <v>0</v>
          </cell>
        </row>
        <row r="8">
          <cell r="A8" t="str">
            <v>เม.ย.</v>
          </cell>
          <cell r="C8">
            <v>189</v>
          </cell>
          <cell r="E8">
            <v>1.9894736842105263</v>
          </cell>
          <cell r="I8">
            <v>0</v>
          </cell>
        </row>
        <row r="9">
          <cell r="A9" t="str">
            <v>พ.ค.</v>
          </cell>
          <cell r="C9">
            <v>126.90000000000002</v>
          </cell>
          <cell r="E9">
            <v>1.3357894736842106</v>
          </cell>
          <cell r="I9">
            <v>0</v>
          </cell>
        </row>
        <row r="10">
          <cell r="A10" t="str">
            <v>มิ.ย.</v>
          </cell>
          <cell r="C10">
            <v>183.6</v>
          </cell>
          <cell r="E10">
            <v>1.9326315789473683</v>
          </cell>
          <cell r="I10">
            <v>0</v>
          </cell>
        </row>
        <row r="11">
          <cell r="A11" t="str">
            <v>ก.ค.</v>
          </cell>
          <cell r="C11">
            <v>159.30000000000001</v>
          </cell>
          <cell r="E11">
            <v>1.6768421052631579</v>
          </cell>
          <cell r="I11">
            <v>0</v>
          </cell>
        </row>
        <row r="12">
          <cell r="A12" t="str">
            <v>ส.ค.</v>
          </cell>
          <cell r="C12">
            <v>206.55</v>
          </cell>
          <cell r="E12">
            <v>2.1742105263157896</v>
          </cell>
          <cell r="I12">
            <v>0</v>
          </cell>
        </row>
        <row r="13">
          <cell r="A13" t="str">
            <v>ก.ย.</v>
          </cell>
          <cell r="C13">
            <v>198.45000000000002</v>
          </cell>
          <cell r="E13">
            <v>2.0889473684210529</v>
          </cell>
          <cell r="I13">
            <v>0</v>
          </cell>
        </row>
        <row r="14">
          <cell r="A14" t="str">
            <v>ต.ค.</v>
          </cell>
          <cell r="C14">
            <v>140.4</v>
          </cell>
          <cell r="E14">
            <v>1.4778947368421054</v>
          </cell>
          <cell r="I14">
            <v>0</v>
          </cell>
        </row>
        <row r="15">
          <cell r="A15" t="str">
            <v>พ.ย.</v>
          </cell>
          <cell r="C15">
            <v>213.3</v>
          </cell>
          <cell r="E15">
            <v>2.2452631578947368</v>
          </cell>
          <cell r="I15">
            <v>0</v>
          </cell>
        </row>
        <row r="16">
          <cell r="A16" t="str">
            <v>ธ.ค.</v>
          </cell>
          <cell r="C16">
            <v>164.70000000000002</v>
          </cell>
          <cell r="E16">
            <v>1.7336842105263159</v>
          </cell>
          <cell r="I16">
            <v>0</v>
          </cell>
        </row>
        <row r="17">
          <cell r="A17" t="str">
            <v>เฉลี่ย</v>
          </cell>
          <cell r="C17">
            <v>183.14999999999998</v>
          </cell>
          <cell r="E17">
            <v>1.9278947368421055</v>
          </cell>
          <cell r="G17" t="e">
            <v>#DIV/0!</v>
          </cell>
          <cell r="I17" t="e">
            <v>#DIV/0!</v>
          </cell>
        </row>
        <row r="18">
          <cell r="C18">
            <v>2197.7999999999997</v>
          </cell>
          <cell r="E18">
            <v>23.134736842105266</v>
          </cell>
          <cell r="G18">
            <v>0</v>
          </cell>
          <cell r="I1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ไฟฟ้า"/>
      <sheetName val="น้ำมันเชื้อเพลิง"/>
      <sheetName val="น้ำ"/>
      <sheetName val="น้ำมันเชื้อเพลิง แยกทะเบียนรถ"/>
    </sheetNames>
    <sheetDataSet>
      <sheetData sheetId="0" refreshError="1"/>
      <sheetData sheetId="1" refreshError="1"/>
      <sheetData sheetId="2">
        <row r="4">
          <cell r="C4" t="str">
            <v xml:space="preserve"> (หน่วย) ปี2566</v>
          </cell>
          <cell r="E4" t="str">
            <v>(หน่วย/คน) ปี2566</v>
          </cell>
          <cell r="G4" t="str">
            <v>(หน่วย) ปี 2567</v>
          </cell>
          <cell r="I4" t="str">
            <v>(หน่วย/คน)ปี 2567</v>
          </cell>
        </row>
        <row r="5">
          <cell r="A5" t="str">
            <v>ม.ค.</v>
          </cell>
          <cell r="C5">
            <v>422</v>
          </cell>
          <cell r="E5">
            <v>4.4893617021276597</v>
          </cell>
          <cell r="G5">
            <v>291</v>
          </cell>
          <cell r="I5">
            <v>3.0957446808510638</v>
          </cell>
        </row>
        <row r="6">
          <cell r="A6" t="str">
            <v>ก.พ.</v>
          </cell>
          <cell r="C6">
            <v>396</v>
          </cell>
          <cell r="E6">
            <v>4.2127659574468082</v>
          </cell>
          <cell r="G6">
            <v>467.3</v>
          </cell>
          <cell r="I6">
            <v>4.9712765957446807</v>
          </cell>
        </row>
        <row r="7">
          <cell r="A7" t="str">
            <v>มี.ค.</v>
          </cell>
          <cell r="C7">
            <v>776</v>
          </cell>
          <cell r="E7">
            <v>8.2553191489361701</v>
          </cell>
          <cell r="G7">
            <v>507.6</v>
          </cell>
          <cell r="I7">
            <v>5.4</v>
          </cell>
        </row>
        <row r="8">
          <cell r="A8" t="str">
            <v>เม.ย.</v>
          </cell>
          <cell r="C8">
            <v>548</v>
          </cell>
          <cell r="E8">
            <v>5.8297872340425529</v>
          </cell>
          <cell r="G8">
            <v>452.3</v>
          </cell>
          <cell r="I8">
            <v>4.8117021276595748</v>
          </cell>
        </row>
        <row r="9">
          <cell r="A9" t="str">
            <v>พ.ค.</v>
          </cell>
          <cell r="C9">
            <v>411</v>
          </cell>
          <cell r="E9">
            <v>4.3723404255319149</v>
          </cell>
          <cell r="G9">
            <v>408.7</v>
          </cell>
          <cell r="I9">
            <v>4.3478723404255319</v>
          </cell>
        </row>
        <row r="10">
          <cell r="A10" t="str">
            <v>มิ.ย.</v>
          </cell>
          <cell r="C10">
            <v>334</v>
          </cell>
          <cell r="E10">
            <v>3.5531914893617023</v>
          </cell>
          <cell r="G10">
            <v>0</v>
          </cell>
          <cell r="I10">
            <v>0</v>
          </cell>
        </row>
        <row r="11">
          <cell r="A11" t="str">
            <v>ก.ค.</v>
          </cell>
          <cell r="C11">
            <v>519</v>
          </cell>
          <cell r="E11">
            <v>5.5212765957446805</v>
          </cell>
          <cell r="G11">
            <v>0</v>
          </cell>
          <cell r="I11">
            <v>0</v>
          </cell>
        </row>
        <row r="12">
          <cell r="A12" t="str">
            <v>ส.ค.</v>
          </cell>
          <cell r="C12">
            <v>505</v>
          </cell>
          <cell r="E12">
            <v>5.3723404255319149</v>
          </cell>
          <cell r="G12">
            <v>0</v>
          </cell>
          <cell r="I12">
            <v>0</v>
          </cell>
        </row>
        <row r="13">
          <cell r="A13" t="str">
            <v>ก.ย.</v>
          </cell>
          <cell r="C13">
            <v>379</v>
          </cell>
          <cell r="E13">
            <v>4.0319148936170217</v>
          </cell>
          <cell r="G13">
            <v>0</v>
          </cell>
          <cell r="I13">
            <v>0</v>
          </cell>
        </row>
        <row r="14">
          <cell r="A14" t="str">
            <v>ต.ค.</v>
          </cell>
          <cell r="C14">
            <v>412</v>
          </cell>
          <cell r="E14">
            <v>4.3829787234042552</v>
          </cell>
          <cell r="G14">
            <v>0</v>
          </cell>
          <cell r="I14">
            <v>0</v>
          </cell>
        </row>
        <row r="15">
          <cell r="A15" t="str">
            <v>พ.ย.</v>
          </cell>
          <cell r="C15">
            <v>472</v>
          </cell>
          <cell r="E15">
            <v>5.0212765957446805</v>
          </cell>
          <cell r="G15">
            <v>0</v>
          </cell>
          <cell r="I15">
            <v>0</v>
          </cell>
        </row>
        <row r="16">
          <cell r="A16" t="str">
            <v>ธ.ค.</v>
          </cell>
          <cell r="C16">
            <v>349</v>
          </cell>
          <cell r="E16">
            <v>3.7127659574468086</v>
          </cell>
          <cell r="G16">
            <v>0</v>
          </cell>
          <cell r="I16">
            <v>0</v>
          </cell>
        </row>
        <row r="17">
          <cell r="A17" t="str">
            <v>เฉลี่ย</v>
          </cell>
          <cell r="C17">
            <v>460.25</v>
          </cell>
          <cell r="E17">
            <v>4.8962765957446805</v>
          </cell>
          <cell r="G17">
            <v>177.24166666666667</v>
          </cell>
          <cell r="I17">
            <v>1.8855496453900711</v>
          </cell>
        </row>
        <row r="18">
          <cell r="C18">
            <v>5523</v>
          </cell>
          <cell r="E18">
            <v>58.755319148936167</v>
          </cell>
          <cell r="G18">
            <v>2126.9</v>
          </cell>
          <cell r="I18">
            <v>22.626595744680852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529C-EB53-414D-979B-15E70A89D99C}">
  <dimension ref="A1:T99"/>
  <sheetViews>
    <sheetView tabSelected="1" zoomScaleNormal="100" zoomScaleSheetLayoutView="100" workbookViewId="0">
      <selection activeCell="E10" sqref="E10"/>
    </sheetView>
  </sheetViews>
  <sheetFormatPr defaultRowHeight="21.75" customHeight="1" x14ac:dyDescent="0.35"/>
  <cols>
    <col min="1" max="1" width="9.625" style="19" customWidth="1"/>
    <col min="2" max="2" width="10" style="3" customWidth="1"/>
    <col min="3" max="5" width="11" style="3" customWidth="1"/>
    <col min="6" max="6" width="9.5" style="3" customWidth="1"/>
    <col min="7" max="9" width="11" style="3" customWidth="1"/>
    <col min="10" max="10" width="11.375" style="3" customWidth="1"/>
    <col min="11" max="11" width="13.875" style="3" customWidth="1"/>
    <col min="12" max="256" width="9" style="3"/>
    <col min="257" max="257" width="9.625" style="3" customWidth="1"/>
    <col min="258" max="258" width="10" style="3" customWidth="1"/>
    <col min="259" max="261" width="11" style="3" customWidth="1"/>
    <col min="262" max="262" width="9.5" style="3" customWidth="1"/>
    <col min="263" max="265" width="11" style="3" customWidth="1"/>
    <col min="266" max="266" width="11.375" style="3" customWidth="1"/>
    <col min="267" max="267" width="13.875" style="3" customWidth="1"/>
    <col min="268" max="512" width="9" style="3"/>
    <col min="513" max="513" width="9.625" style="3" customWidth="1"/>
    <col min="514" max="514" width="10" style="3" customWidth="1"/>
    <col min="515" max="517" width="11" style="3" customWidth="1"/>
    <col min="518" max="518" width="9.5" style="3" customWidth="1"/>
    <col min="519" max="521" width="11" style="3" customWidth="1"/>
    <col min="522" max="522" width="11.375" style="3" customWidth="1"/>
    <col min="523" max="523" width="13.875" style="3" customWidth="1"/>
    <col min="524" max="768" width="9" style="3"/>
    <col min="769" max="769" width="9.625" style="3" customWidth="1"/>
    <col min="770" max="770" width="10" style="3" customWidth="1"/>
    <col min="771" max="773" width="11" style="3" customWidth="1"/>
    <col min="774" max="774" width="9.5" style="3" customWidth="1"/>
    <col min="775" max="777" width="11" style="3" customWidth="1"/>
    <col min="778" max="778" width="11.375" style="3" customWidth="1"/>
    <col min="779" max="779" width="13.875" style="3" customWidth="1"/>
    <col min="780" max="1024" width="9" style="3"/>
    <col min="1025" max="1025" width="9.625" style="3" customWidth="1"/>
    <col min="1026" max="1026" width="10" style="3" customWidth="1"/>
    <col min="1027" max="1029" width="11" style="3" customWidth="1"/>
    <col min="1030" max="1030" width="9.5" style="3" customWidth="1"/>
    <col min="1031" max="1033" width="11" style="3" customWidth="1"/>
    <col min="1034" max="1034" width="11.375" style="3" customWidth="1"/>
    <col min="1035" max="1035" width="13.875" style="3" customWidth="1"/>
    <col min="1036" max="1280" width="9" style="3"/>
    <col min="1281" max="1281" width="9.625" style="3" customWidth="1"/>
    <col min="1282" max="1282" width="10" style="3" customWidth="1"/>
    <col min="1283" max="1285" width="11" style="3" customWidth="1"/>
    <col min="1286" max="1286" width="9.5" style="3" customWidth="1"/>
    <col min="1287" max="1289" width="11" style="3" customWidth="1"/>
    <col min="1290" max="1290" width="11.375" style="3" customWidth="1"/>
    <col min="1291" max="1291" width="13.875" style="3" customWidth="1"/>
    <col min="1292" max="1536" width="9" style="3"/>
    <col min="1537" max="1537" width="9.625" style="3" customWidth="1"/>
    <col min="1538" max="1538" width="10" style="3" customWidth="1"/>
    <col min="1539" max="1541" width="11" style="3" customWidth="1"/>
    <col min="1542" max="1542" width="9.5" style="3" customWidth="1"/>
    <col min="1543" max="1545" width="11" style="3" customWidth="1"/>
    <col min="1546" max="1546" width="11.375" style="3" customWidth="1"/>
    <col min="1547" max="1547" width="13.875" style="3" customWidth="1"/>
    <col min="1548" max="1792" width="9" style="3"/>
    <col min="1793" max="1793" width="9.625" style="3" customWidth="1"/>
    <col min="1794" max="1794" width="10" style="3" customWidth="1"/>
    <col min="1795" max="1797" width="11" style="3" customWidth="1"/>
    <col min="1798" max="1798" width="9.5" style="3" customWidth="1"/>
    <col min="1799" max="1801" width="11" style="3" customWidth="1"/>
    <col min="1802" max="1802" width="11.375" style="3" customWidth="1"/>
    <col min="1803" max="1803" width="13.875" style="3" customWidth="1"/>
    <col min="1804" max="2048" width="9" style="3"/>
    <col min="2049" max="2049" width="9.625" style="3" customWidth="1"/>
    <col min="2050" max="2050" width="10" style="3" customWidth="1"/>
    <col min="2051" max="2053" width="11" style="3" customWidth="1"/>
    <col min="2054" max="2054" width="9.5" style="3" customWidth="1"/>
    <col min="2055" max="2057" width="11" style="3" customWidth="1"/>
    <col min="2058" max="2058" width="11.375" style="3" customWidth="1"/>
    <col min="2059" max="2059" width="13.875" style="3" customWidth="1"/>
    <col min="2060" max="2304" width="9" style="3"/>
    <col min="2305" max="2305" width="9.625" style="3" customWidth="1"/>
    <col min="2306" max="2306" width="10" style="3" customWidth="1"/>
    <col min="2307" max="2309" width="11" style="3" customWidth="1"/>
    <col min="2310" max="2310" width="9.5" style="3" customWidth="1"/>
    <col min="2311" max="2313" width="11" style="3" customWidth="1"/>
    <col min="2314" max="2314" width="11.375" style="3" customWidth="1"/>
    <col min="2315" max="2315" width="13.875" style="3" customWidth="1"/>
    <col min="2316" max="2560" width="9" style="3"/>
    <col min="2561" max="2561" width="9.625" style="3" customWidth="1"/>
    <col min="2562" max="2562" width="10" style="3" customWidth="1"/>
    <col min="2563" max="2565" width="11" style="3" customWidth="1"/>
    <col min="2566" max="2566" width="9.5" style="3" customWidth="1"/>
    <col min="2567" max="2569" width="11" style="3" customWidth="1"/>
    <col min="2570" max="2570" width="11.375" style="3" customWidth="1"/>
    <col min="2571" max="2571" width="13.875" style="3" customWidth="1"/>
    <col min="2572" max="2816" width="9" style="3"/>
    <col min="2817" max="2817" width="9.625" style="3" customWidth="1"/>
    <col min="2818" max="2818" width="10" style="3" customWidth="1"/>
    <col min="2819" max="2821" width="11" style="3" customWidth="1"/>
    <col min="2822" max="2822" width="9.5" style="3" customWidth="1"/>
    <col min="2823" max="2825" width="11" style="3" customWidth="1"/>
    <col min="2826" max="2826" width="11.375" style="3" customWidth="1"/>
    <col min="2827" max="2827" width="13.875" style="3" customWidth="1"/>
    <col min="2828" max="3072" width="9" style="3"/>
    <col min="3073" max="3073" width="9.625" style="3" customWidth="1"/>
    <col min="3074" max="3074" width="10" style="3" customWidth="1"/>
    <col min="3075" max="3077" width="11" style="3" customWidth="1"/>
    <col min="3078" max="3078" width="9.5" style="3" customWidth="1"/>
    <col min="3079" max="3081" width="11" style="3" customWidth="1"/>
    <col min="3082" max="3082" width="11.375" style="3" customWidth="1"/>
    <col min="3083" max="3083" width="13.875" style="3" customWidth="1"/>
    <col min="3084" max="3328" width="9" style="3"/>
    <col min="3329" max="3329" width="9.625" style="3" customWidth="1"/>
    <col min="3330" max="3330" width="10" style="3" customWidth="1"/>
    <col min="3331" max="3333" width="11" style="3" customWidth="1"/>
    <col min="3334" max="3334" width="9.5" style="3" customWidth="1"/>
    <col min="3335" max="3337" width="11" style="3" customWidth="1"/>
    <col min="3338" max="3338" width="11.375" style="3" customWidth="1"/>
    <col min="3339" max="3339" width="13.875" style="3" customWidth="1"/>
    <col min="3340" max="3584" width="9" style="3"/>
    <col min="3585" max="3585" width="9.625" style="3" customWidth="1"/>
    <col min="3586" max="3586" width="10" style="3" customWidth="1"/>
    <col min="3587" max="3589" width="11" style="3" customWidth="1"/>
    <col min="3590" max="3590" width="9.5" style="3" customWidth="1"/>
    <col min="3591" max="3593" width="11" style="3" customWidth="1"/>
    <col min="3594" max="3594" width="11.375" style="3" customWidth="1"/>
    <col min="3595" max="3595" width="13.875" style="3" customWidth="1"/>
    <col min="3596" max="3840" width="9" style="3"/>
    <col min="3841" max="3841" width="9.625" style="3" customWidth="1"/>
    <col min="3842" max="3842" width="10" style="3" customWidth="1"/>
    <col min="3843" max="3845" width="11" style="3" customWidth="1"/>
    <col min="3846" max="3846" width="9.5" style="3" customWidth="1"/>
    <col min="3847" max="3849" width="11" style="3" customWidth="1"/>
    <col min="3850" max="3850" width="11.375" style="3" customWidth="1"/>
    <col min="3851" max="3851" width="13.875" style="3" customWidth="1"/>
    <col min="3852" max="4096" width="9" style="3"/>
    <col min="4097" max="4097" width="9.625" style="3" customWidth="1"/>
    <col min="4098" max="4098" width="10" style="3" customWidth="1"/>
    <col min="4099" max="4101" width="11" style="3" customWidth="1"/>
    <col min="4102" max="4102" width="9.5" style="3" customWidth="1"/>
    <col min="4103" max="4105" width="11" style="3" customWidth="1"/>
    <col min="4106" max="4106" width="11.375" style="3" customWidth="1"/>
    <col min="4107" max="4107" width="13.875" style="3" customWidth="1"/>
    <col min="4108" max="4352" width="9" style="3"/>
    <col min="4353" max="4353" width="9.625" style="3" customWidth="1"/>
    <col min="4354" max="4354" width="10" style="3" customWidth="1"/>
    <col min="4355" max="4357" width="11" style="3" customWidth="1"/>
    <col min="4358" max="4358" width="9.5" style="3" customWidth="1"/>
    <col min="4359" max="4361" width="11" style="3" customWidth="1"/>
    <col min="4362" max="4362" width="11.375" style="3" customWidth="1"/>
    <col min="4363" max="4363" width="13.875" style="3" customWidth="1"/>
    <col min="4364" max="4608" width="9" style="3"/>
    <col min="4609" max="4609" width="9.625" style="3" customWidth="1"/>
    <col min="4610" max="4610" width="10" style="3" customWidth="1"/>
    <col min="4611" max="4613" width="11" style="3" customWidth="1"/>
    <col min="4614" max="4614" width="9.5" style="3" customWidth="1"/>
    <col min="4615" max="4617" width="11" style="3" customWidth="1"/>
    <col min="4618" max="4618" width="11.375" style="3" customWidth="1"/>
    <col min="4619" max="4619" width="13.875" style="3" customWidth="1"/>
    <col min="4620" max="4864" width="9" style="3"/>
    <col min="4865" max="4865" width="9.625" style="3" customWidth="1"/>
    <col min="4866" max="4866" width="10" style="3" customWidth="1"/>
    <col min="4867" max="4869" width="11" style="3" customWidth="1"/>
    <col min="4870" max="4870" width="9.5" style="3" customWidth="1"/>
    <col min="4871" max="4873" width="11" style="3" customWidth="1"/>
    <col min="4874" max="4874" width="11.375" style="3" customWidth="1"/>
    <col min="4875" max="4875" width="13.875" style="3" customWidth="1"/>
    <col min="4876" max="5120" width="9" style="3"/>
    <col min="5121" max="5121" width="9.625" style="3" customWidth="1"/>
    <col min="5122" max="5122" width="10" style="3" customWidth="1"/>
    <col min="5123" max="5125" width="11" style="3" customWidth="1"/>
    <col min="5126" max="5126" width="9.5" style="3" customWidth="1"/>
    <col min="5127" max="5129" width="11" style="3" customWidth="1"/>
    <col min="5130" max="5130" width="11.375" style="3" customWidth="1"/>
    <col min="5131" max="5131" width="13.875" style="3" customWidth="1"/>
    <col min="5132" max="5376" width="9" style="3"/>
    <col min="5377" max="5377" width="9.625" style="3" customWidth="1"/>
    <col min="5378" max="5378" width="10" style="3" customWidth="1"/>
    <col min="5379" max="5381" width="11" style="3" customWidth="1"/>
    <col min="5382" max="5382" width="9.5" style="3" customWidth="1"/>
    <col min="5383" max="5385" width="11" style="3" customWidth="1"/>
    <col min="5386" max="5386" width="11.375" style="3" customWidth="1"/>
    <col min="5387" max="5387" width="13.875" style="3" customWidth="1"/>
    <col min="5388" max="5632" width="9" style="3"/>
    <col min="5633" max="5633" width="9.625" style="3" customWidth="1"/>
    <col min="5634" max="5634" width="10" style="3" customWidth="1"/>
    <col min="5635" max="5637" width="11" style="3" customWidth="1"/>
    <col min="5638" max="5638" width="9.5" style="3" customWidth="1"/>
    <col min="5639" max="5641" width="11" style="3" customWidth="1"/>
    <col min="5642" max="5642" width="11.375" style="3" customWidth="1"/>
    <col min="5643" max="5643" width="13.875" style="3" customWidth="1"/>
    <col min="5644" max="5888" width="9" style="3"/>
    <col min="5889" max="5889" width="9.625" style="3" customWidth="1"/>
    <col min="5890" max="5890" width="10" style="3" customWidth="1"/>
    <col min="5891" max="5893" width="11" style="3" customWidth="1"/>
    <col min="5894" max="5894" width="9.5" style="3" customWidth="1"/>
    <col min="5895" max="5897" width="11" style="3" customWidth="1"/>
    <col min="5898" max="5898" width="11.375" style="3" customWidth="1"/>
    <col min="5899" max="5899" width="13.875" style="3" customWidth="1"/>
    <col min="5900" max="6144" width="9" style="3"/>
    <col min="6145" max="6145" width="9.625" style="3" customWidth="1"/>
    <col min="6146" max="6146" width="10" style="3" customWidth="1"/>
    <col min="6147" max="6149" width="11" style="3" customWidth="1"/>
    <col min="6150" max="6150" width="9.5" style="3" customWidth="1"/>
    <col min="6151" max="6153" width="11" style="3" customWidth="1"/>
    <col min="6154" max="6154" width="11.375" style="3" customWidth="1"/>
    <col min="6155" max="6155" width="13.875" style="3" customWidth="1"/>
    <col min="6156" max="6400" width="9" style="3"/>
    <col min="6401" max="6401" width="9.625" style="3" customWidth="1"/>
    <col min="6402" max="6402" width="10" style="3" customWidth="1"/>
    <col min="6403" max="6405" width="11" style="3" customWidth="1"/>
    <col min="6406" max="6406" width="9.5" style="3" customWidth="1"/>
    <col min="6407" max="6409" width="11" style="3" customWidth="1"/>
    <col min="6410" max="6410" width="11.375" style="3" customWidth="1"/>
    <col min="6411" max="6411" width="13.875" style="3" customWidth="1"/>
    <col min="6412" max="6656" width="9" style="3"/>
    <col min="6657" max="6657" width="9.625" style="3" customWidth="1"/>
    <col min="6658" max="6658" width="10" style="3" customWidth="1"/>
    <col min="6659" max="6661" width="11" style="3" customWidth="1"/>
    <col min="6662" max="6662" width="9.5" style="3" customWidth="1"/>
    <col min="6663" max="6665" width="11" style="3" customWidth="1"/>
    <col min="6666" max="6666" width="11.375" style="3" customWidth="1"/>
    <col min="6667" max="6667" width="13.875" style="3" customWidth="1"/>
    <col min="6668" max="6912" width="9" style="3"/>
    <col min="6913" max="6913" width="9.625" style="3" customWidth="1"/>
    <col min="6914" max="6914" width="10" style="3" customWidth="1"/>
    <col min="6915" max="6917" width="11" style="3" customWidth="1"/>
    <col min="6918" max="6918" width="9.5" style="3" customWidth="1"/>
    <col min="6919" max="6921" width="11" style="3" customWidth="1"/>
    <col min="6922" max="6922" width="11.375" style="3" customWidth="1"/>
    <col min="6923" max="6923" width="13.875" style="3" customWidth="1"/>
    <col min="6924" max="7168" width="9" style="3"/>
    <col min="7169" max="7169" width="9.625" style="3" customWidth="1"/>
    <col min="7170" max="7170" width="10" style="3" customWidth="1"/>
    <col min="7171" max="7173" width="11" style="3" customWidth="1"/>
    <col min="7174" max="7174" width="9.5" style="3" customWidth="1"/>
    <col min="7175" max="7177" width="11" style="3" customWidth="1"/>
    <col min="7178" max="7178" width="11.375" style="3" customWidth="1"/>
    <col min="7179" max="7179" width="13.875" style="3" customWidth="1"/>
    <col min="7180" max="7424" width="9" style="3"/>
    <col min="7425" max="7425" width="9.625" style="3" customWidth="1"/>
    <col min="7426" max="7426" width="10" style="3" customWidth="1"/>
    <col min="7427" max="7429" width="11" style="3" customWidth="1"/>
    <col min="7430" max="7430" width="9.5" style="3" customWidth="1"/>
    <col min="7431" max="7433" width="11" style="3" customWidth="1"/>
    <col min="7434" max="7434" width="11.375" style="3" customWidth="1"/>
    <col min="7435" max="7435" width="13.875" style="3" customWidth="1"/>
    <col min="7436" max="7680" width="9" style="3"/>
    <col min="7681" max="7681" width="9.625" style="3" customWidth="1"/>
    <col min="7682" max="7682" width="10" style="3" customWidth="1"/>
    <col min="7683" max="7685" width="11" style="3" customWidth="1"/>
    <col min="7686" max="7686" width="9.5" style="3" customWidth="1"/>
    <col min="7687" max="7689" width="11" style="3" customWidth="1"/>
    <col min="7690" max="7690" width="11.375" style="3" customWidth="1"/>
    <col min="7691" max="7691" width="13.875" style="3" customWidth="1"/>
    <col min="7692" max="7936" width="9" style="3"/>
    <col min="7937" max="7937" width="9.625" style="3" customWidth="1"/>
    <col min="7938" max="7938" width="10" style="3" customWidth="1"/>
    <col min="7939" max="7941" width="11" style="3" customWidth="1"/>
    <col min="7942" max="7942" width="9.5" style="3" customWidth="1"/>
    <col min="7943" max="7945" width="11" style="3" customWidth="1"/>
    <col min="7946" max="7946" width="11.375" style="3" customWidth="1"/>
    <col min="7947" max="7947" width="13.875" style="3" customWidth="1"/>
    <col min="7948" max="8192" width="9" style="3"/>
    <col min="8193" max="8193" width="9.625" style="3" customWidth="1"/>
    <col min="8194" max="8194" width="10" style="3" customWidth="1"/>
    <col min="8195" max="8197" width="11" style="3" customWidth="1"/>
    <col min="8198" max="8198" width="9.5" style="3" customWidth="1"/>
    <col min="8199" max="8201" width="11" style="3" customWidth="1"/>
    <col min="8202" max="8202" width="11.375" style="3" customWidth="1"/>
    <col min="8203" max="8203" width="13.875" style="3" customWidth="1"/>
    <col min="8204" max="8448" width="9" style="3"/>
    <col min="8449" max="8449" width="9.625" style="3" customWidth="1"/>
    <col min="8450" max="8450" width="10" style="3" customWidth="1"/>
    <col min="8451" max="8453" width="11" style="3" customWidth="1"/>
    <col min="8454" max="8454" width="9.5" style="3" customWidth="1"/>
    <col min="8455" max="8457" width="11" style="3" customWidth="1"/>
    <col min="8458" max="8458" width="11.375" style="3" customWidth="1"/>
    <col min="8459" max="8459" width="13.875" style="3" customWidth="1"/>
    <col min="8460" max="8704" width="9" style="3"/>
    <col min="8705" max="8705" width="9.625" style="3" customWidth="1"/>
    <col min="8706" max="8706" width="10" style="3" customWidth="1"/>
    <col min="8707" max="8709" width="11" style="3" customWidth="1"/>
    <col min="8710" max="8710" width="9.5" style="3" customWidth="1"/>
    <col min="8711" max="8713" width="11" style="3" customWidth="1"/>
    <col min="8714" max="8714" width="11.375" style="3" customWidth="1"/>
    <col min="8715" max="8715" width="13.875" style="3" customWidth="1"/>
    <col min="8716" max="8960" width="9" style="3"/>
    <col min="8961" max="8961" width="9.625" style="3" customWidth="1"/>
    <col min="8962" max="8962" width="10" style="3" customWidth="1"/>
    <col min="8963" max="8965" width="11" style="3" customWidth="1"/>
    <col min="8966" max="8966" width="9.5" style="3" customWidth="1"/>
    <col min="8967" max="8969" width="11" style="3" customWidth="1"/>
    <col min="8970" max="8970" width="11.375" style="3" customWidth="1"/>
    <col min="8971" max="8971" width="13.875" style="3" customWidth="1"/>
    <col min="8972" max="9216" width="9" style="3"/>
    <col min="9217" max="9217" width="9.625" style="3" customWidth="1"/>
    <col min="9218" max="9218" width="10" style="3" customWidth="1"/>
    <col min="9219" max="9221" width="11" style="3" customWidth="1"/>
    <col min="9222" max="9222" width="9.5" style="3" customWidth="1"/>
    <col min="9223" max="9225" width="11" style="3" customWidth="1"/>
    <col min="9226" max="9226" width="11.375" style="3" customWidth="1"/>
    <col min="9227" max="9227" width="13.875" style="3" customWidth="1"/>
    <col min="9228" max="9472" width="9" style="3"/>
    <col min="9473" max="9473" width="9.625" style="3" customWidth="1"/>
    <col min="9474" max="9474" width="10" style="3" customWidth="1"/>
    <col min="9475" max="9477" width="11" style="3" customWidth="1"/>
    <col min="9478" max="9478" width="9.5" style="3" customWidth="1"/>
    <col min="9479" max="9481" width="11" style="3" customWidth="1"/>
    <col min="9482" max="9482" width="11.375" style="3" customWidth="1"/>
    <col min="9483" max="9483" width="13.875" style="3" customWidth="1"/>
    <col min="9484" max="9728" width="9" style="3"/>
    <col min="9729" max="9729" width="9.625" style="3" customWidth="1"/>
    <col min="9730" max="9730" width="10" style="3" customWidth="1"/>
    <col min="9731" max="9733" width="11" style="3" customWidth="1"/>
    <col min="9734" max="9734" width="9.5" style="3" customWidth="1"/>
    <col min="9735" max="9737" width="11" style="3" customWidth="1"/>
    <col min="9738" max="9738" width="11.375" style="3" customWidth="1"/>
    <col min="9739" max="9739" width="13.875" style="3" customWidth="1"/>
    <col min="9740" max="9984" width="9" style="3"/>
    <col min="9985" max="9985" width="9.625" style="3" customWidth="1"/>
    <col min="9986" max="9986" width="10" style="3" customWidth="1"/>
    <col min="9987" max="9989" width="11" style="3" customWidth="1"/>
    <col min="9990" max="9990" width="9.5" style="3" customWidth="1"/>
    <col min="9991" max="9993" width="11" style="3" customWidth="1"/>
    <col min="9994" max="9994" width="11.375" style="3" customWidth="1"/>
    <col min="9995" max="9995" width="13.875" style="3" customWidth="1"/>
    <col min="9996" max="10240" width="9" style="3"/>
    <col min="10241" max="10241" width="9.625" style="3" customWidth="1"/>
    <col min="10242" max="10242" width="10" style="3" customWidth="1"/>
    <col min="10243" max="10245" width="11" style="3" customWidth="1"/>
    <col min="10246" max="10246" width="9.5" style="3" customWidth="1"/>
    <col min="10247" max="10249" width="11" style="3" customWidth="1"/>
    <col min="10250" max="10250" width="11.375" style="3" customWidth="1"/>
    <col min="10251" max="10251" width="13.875" style="3" customWidth="1"/>
    <col min="10252" max="10496" width="9" style="3"/>
    <col min="10497" max="10497" width="9.625" style="3" customWidth="1"/>
    <col min="10498" max="10498" width="10" style="3" customWidth="1"/>
    <col min="10499" max="10501" width="11" style="3" customWidth="1"/>
    <col min="10502" max="10502" width="9.5" style="3" customWidth="1"/>
    <col min="10503" max="10505" width="11" style="3" customWidth="1"/>
    <col min="10506" max="10506" width="11.375" style="3" customWidth="1"/>
    <col min="10507" max="10507" width="13.875" style="3" customWidth="1"/>
    <col min="10508" max="10752" width="9" style="3"/>
    <col min="10753" max="10753" width="9.625" style="3" customWidth="1"/>
    <col min="10754" max="10754" width="10" style="3" customWidth="1"/>
    <col min="10755" max="10757" width="11" style="3" customWidth="1"/>
    <col min="10758" max="10758" width="9.5" style="3" customWidth="1"/>
    <col min="10759" max="10761" width="11" style="3" customWidth="1"/>
    <col min="10762" max="10762" width="11.375" style="3" customWidth="1"/>
    <col min="10763" max="10763" width="13.875" style="3" customWidth="1"/>
    <col min="10764" max="11008" width="9" style="3"/>
    <col min="11009" max="11009" width="9.625" style="3" customWidth="1"/>
    <col min="11010" max="11010" width="10" style="3" customWidth="1"/>
    <col min="11011" max="11013" width="11" style="3" customWidth="1"/>
    <col min="11014" max="11014" width="9.5" style="3" customWidth="1"/>
    <col min="11015" max="11017" width="11" style="3" customWidth="1"/>
    <col min="11018" max="11018" width="11.375" style="3" customWidth="1"/>
    <col min="11019" max="11019" width="13.875" style="3" customWidth="1"/>
    <col min="11020" max="11264" width="9" style="3"/>
    <col min="11265" max="11265" width="9.625" style="3" customWidth="1"/>
    <col min="11266" max="11266" width="10" style="3" customWidth="1"/>
    <col min="11267" max="11269" width="11" style="3" customWidth="1"/>
    <col min="11270" max="11270" width="9.5" style="3" customWidth="1"/>
    <col min="11271" max="11273" width="11" style="3" customWidth="1"/>
    <col min="11274" max="11274" width="11.375" style="3" customWidth="1"/>
    <col min="11275" max="11275" width="13.875" style="3" customWidth="1"/>
    <col min="11276" max="11520" width="9" style="3"/>
    <col min="11521" max="11521" width="9.625" style="3" customWidth="1"/>
    <col min="11522" max="11522" width="10" style="3" customWidth="1"/>
    <col min="11523" max="11525" width="11" style="3" customWidth="1"/>
    <col min="11526" max="11526" width="9.5" style="3" customWidth="1"/>
    <col min="11527" max="11529" width="11" style="3" customWidth="1"/>
    <col min="11530" max="11530" width="11.375" style="3" customWidth="1"/>
    <col min="11531" max="11531" width="13.875" style="3" customWidth="1"/>
    <col min="11532" max="11776" width="9" style="3"/>
    <col min="11777" max="11777" width="9.625" style="3" customWidth="1"/>
    <col min="11778" max="11778" width="10" style="3" customWidth="1"/>
    <col min="11779" max="11781" width="11" style="3" customWidth="1"/>
    <col min="11782" max="11782" width="9.5" style="3" customWidth="1"/>
    <col min="11783" max="11785" width="11" style="3" customWidth="1"/>
    <col min="11786" max="11786" width="11.375" style="3" customWidth="1"/>
    <col min="11787" max="11787" width="13.875" style="3" customWidth="1"/>
    <col min="11788" max="12032" width="9" style="3"/>
    <col min="12033" max="12033" width="9.625" style="3" customWidth="1"/>
    <col min="12034" max="12034" width="10" style="3" customWidth="1"/>
    <col min="12035" max="12037" width="11" style="3" customWidth="1"/>
    <col min="12038" max="12038" width="9.5" style="3" customWidth="1"/>
    <col min="12039" max="12041" width="11" style="3" customWidth="1"/>
    <col min="12042" max="12042" width="11.375" style="3" customWidth="1"/>
    <col min="12043" max="12043" width="13.875" style="3" customWidth="1"/>
    <col min="12044" max="12288" width="9" style="3"/>
    <col min="12289" max="12289" width="9.625" style="3" customWidth="1"/>
    <col min="12290" max="12290" width="10" style="3" customWidth="1"/>
    <col min="12291" max="12293" width="11" style="3" customWidth="1"/>
    <col min="12294" max="12294" width="9.5" style="3" customWidth="1"/>
    <col min="12295" max="12297" width="11" style="3" customWidth="1"/>
    <col min="12298" max="12298" width="11.375" style="3" customWidth="1"/>
    <col min="12299" max="12299" width="13.875" style="3" customWidth="1"/>
    <col min="12300" max="12544" width="9" style="3"/>
    <col min="12545" max="12545" width="9.625" style="3" customWidth="1"/>
    <col min="12546" max="12546" width="10" style="3" customWidth="1"/>
    <col min="12547" max="12549" width="11" style="3" customWidth="1"/>
    <col min="12550" max="12550" width="9.5" style="3" customWidth="1"/>
    <col min="12551" max="12553" width="11" style="3" customWidth="1"/>
    <col min="12554" max="12554" width="11.375" style="3" customWidth="1"/>
    <col min="12555" max="12555" width="13.875" style="3" customWidth="1"/>
    <col min="12556" max="12800" width="9" style="3"/>
    <col min="12801" max="12801" width="9.625" style="3" customWidth="1"/>
    <col min="12802" max="12802" width="10" style="3" customWidth="1"/>
    <col min="12803" max="12805" width="11" style="3" customWidth="1"/>
    <col min="12806" max="12806" width="9.5" style="3" customWidth="1"/>
    <col min="12807" max="12809" width="11" style="3" customWidth="1"/>
    <col min="12810" max="12810" width="11.375" style="3" customWidth="1"/>
    <col min="12811" max="12811" width="13.875" style="3" customWidth="1"/>
    <col min="12812" max="13056" width="9" style="3"/>
    <col min="13057" max="13057" width="9.625" style="3" customWidth="1"/>
    <col min="13058" max="13058" width="10" style="3" customWidth="1"/>
    <col min="13059" max="13061" width="11" style="3" customWidth="1"/>
    <col min="13062" max="13062" width="9.5" style="3" customWidth="1"/>
    <col min="13063" max="13065" width="11" style="3" customWidth="1"/>
    <col min="13066" max="13066" width="11.375" style="3" customWidth="1"/>
    <col min="13067" max="13067" width="13.875" style="3" customWidth="1"/>
    <col min="13068" max="13312" width="9" style="3"/>
    <col min="13313" max="13313" width="9.625" style="3" customWidth="1"/>
    <col min="13314" max="13314" width="10" style="3" customWidth="1"/>
    <col min="13315" max="13317" width="11" style="3" customWidth="1"/>
    <col min="13318" max="13318" width="9.5" style="3" customWidth="1"/>
    <col min="13319" max="13321" width="11" style="3" customWidth="1"/>
    <col min="13322" max="13322" width="11.375" style="3" customWidth="1"/>
    <col min="13323" max="13323" width="13.875" style="3" customWidth="1"/>
    <col min="13324" max="13568" width="9" style="3"/>
    <col min="13569" max="13569" width="9.625" style="3" customWidth="1"/>
    <col min="13570" max="13570" width="10" style="3" customWidth="1"/>
    <col min="13571" max="13573" width="11" style="3" customWidth="1"/>
    <col min="13574" max="13574" width="9.5" style="3" customWidth="1"/>
    <col min="13575" max="13577" width="11" style="3" customWidth="1"/>
    <col min="13578" max="13578" width="11.375" style="3" customWidth="1"/>
    <col min="13579" max="13579" width="13.875" style="3" customWidth="1"/>
    <col min="13580" max="13824" width="9" style="3"/>
    <col min="13825" max="13825" width="9.625" style="3" customWidth="1"/>
    <col min="13826" max="13826" width="10" style="3" customWidth="1"/>
    <col min="13827" max="13829" width="11" style="3" customWidth="1"/>
    <col min="13830" max="13830" width="9.5" style="3" customWidth="1"/>
    <col min="13831" max="13833" width="11" style="3" customWidth="1"/>
    <col min="13834" max="13834" width="11.375" style="3" customWidth="1"/>
    <col min="13835" max="13835" width="13.875" style="3" customWidth="1"/>
    <col min="13836" max="14080" width="9" style="3"/>
    <col min="14081" max="14081" width="9.625" style="3" customWidth="1"/>
    <col min="14082" max="14082" width="10" style="3" customWidth="1"/>
    <col min="14083" max="14085" width="11" style="3" customWidth="1"/>
    <col min="14086" max="14086" width="9.5" style="3" customWidth="1"/>
    <col min="14087" max="14089" width="11" style="3" customWidth="1"/>
    <col min="14090" max="14090" width="11.375" style="3" customWidth="1"/>
    <col min="14091" max="14091" width="13.875" style="3" customWidth="1"/>
    <col min="14092" max="14336" width="9" style="3"/>
    <col min="14337" max="14337" width="9.625" style="3" customWidth="1"/>
    <col min="14338" max="14338" width="10" style="3" customWidth="1"/>
    <col min="14339" max="14341" width="11" style="3" customWidth="1"/>
    <col min="14342" max="14342" width="9.5" style="3" customWidth="1"/>
    <col min="14343" max="14345" width="11" style="3" customWidth="1"/>
    <col min="14346" max="14346" width="11.375" style="3" customWidth="1"/>
    <col min="14347" max="14347" width="13.875" style="3" customWidth="1"/>
    <col min="14348" max="14592" width="9" style="3"/>
    <col min="14593" max="14593" width="9.625" style="3" customWidth="1"/>
    <col min="14594" max="14594" width="10" style="3" customWidth="1"/>
    <col min="14595" max="14597" width="11" style="3" customWidth="1"/>
    <col min="14598" max="14598" width="9.5" style="3" customWidth="1"/>
    <col min="14599" max="14601" width="11" style="3" customWidth="1"/>
    <col min="14602" max="14602" width="11.375" style="3" customWidth="1"/>
    <col min="14603" max="14603" width="13.875" style="3" customWidth="1"/>
    <col min="14604" max="14848" width="9" style="3"/>
    <col min="14849" max="14849" width="9.625" style="3" customWidth="1"/>
    <col min="14850" max="14850" width="10" style="3" customWidth="1"/>
    <col min="14851" max="14853" width="11" style="3" customWidth="1"/>
    <col min="14854" max="14854" width="9.5" style="3" customWidth="1"/>
    <col min="14855" max="14857" width="11" style="3" customWidth="1"/>
    <col min="14858" max="14858" width="11.375" style="3" customWidth="1"/>
    <col min="14859" max="14859" width="13.875" style="3" customWidth="1"/>
    <col min="14860" max="15104" width="9" style="3"/>
    <col min="15105" max="15105" width="9.625" style="3" customWidth="1"/>
    <col min="15106" max="15106" width="10" style="3" customWidth="1"/>
    <col min="15107" max="15109" width="11" style="3" customWidth="1"/>
    <col min="15110" max="15110" width="9.5" style="3" customWidth="1"/>
    <col min="15111" max="15113" width="11" style="3" customWidth="1"/>
    <col min="15114" max="15114" width="11.375" style="3" customWidth="1"/>
    <col min="15115" max="15115" width="13.875" style="3" customWidth="1"/>
    <col min="15116" max="15360" width="9" style="3"/>
    <col min="15361" max="15361" width="9.625" style="3" customWidth="1"/>
    <col min="15362" max="15362" width="10" style="3" customWidth="1"/>
    <col min="15363" max="15365" width="11" style="3" customWidth="1"/>
    <col min="15366" max="15366" width="9.5" style="3" customWidth="1"/>
    <col min="15367" max="15369" width="11" style="3" customWidth="1"/>
    <col min="15370" max="15370" width="11.375" style="3" customWidth="1"/>
    <col min="15371" max="15371" width="13.875" style="3" customWidth="1"/>
    <col min="15372" max="15616" width="9" style="3"/>
    <col min="15617" max="15617" width="9.625" style="3" customWidth="1"/>
    <col min="15618" max="15618" width="10" style="3" customWidth="1"/>
    <col min="15619" max="15621" width="11" style="3" customWidth="1"/>
    <col min="15622" max="15622" width="9.5" style="3" customWidth="1"/>
    <col min="15623" max="15625" width="11" style="3" customWidth="1"/>
    <col min="15626" max="15626" width="11.375" style="3" customWidth="1"/>
    <col min="15627" max="15627" width="13.875" style="3" customWidth="1"/>
    <col min="15628" max="15872" width="9" style="3"/>
    <col min="15873" max="15873" width="9.625" style="3" customWidth="1"/>
    <col min="15874" max="15874" width="10" style="3" customWidth="1"/>
    <col min="15875" max="15877" width="11" style="3" customWidth="1"/>
    <col min="15878" max="15878" width="9.5" style="3" customWidth="1"/>
    <col min="15879" max="15881" width="11" style="3" customWidth="1"/>
    <col min="15882" max="15882" width="11.375" style="3" customWidth="1"/>
    <col min="15883" max="15883" width="13.875" style="3" customWidth="1"/>
    <col min="15884" max="16128" width="9" style="3"/>
    <col min="16129" max="16129" width="9.625" style="3" customWidth="1"/>
    <col min="16130" max="16130" width="10" style="3" customWidth="1"/>
    <col min="16131" max="16133" width="11" style="3" customWidth="1"/>
    <col min="16134" max="16134" width="9.5" style="3" customWidth="1"/>
    <col min="16135" max="16137" width="11" style="3" customWidth="1"/>
    <col min="16138" max="16138" width="11.375" style="3" customWidth="1"/>
    <col min="16139" max="16139" width="13.875" style="3" customWidth="1"/>
    <col min="16140" max="16384" width="9" style="3"/>
  </cols>
  <sheetData>
    <row r="1" spans="1:12" ht="21.75" customHeight="1" x14ac:dyDescent="0.35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2" ht="23.1" customHeight="1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2"/>
    </row>
    <row r="3" spans="1:12" s="8" customFormat="1" ht="21.6" customHeight="1" x14ac:dyDescent="0.2">
      <c r="A3" s="6" t="s">
        <v>2</v>
      </c>
      <c r="B3" s="7" t="s">
        <v>3</v>
      </c>
      <c r="C3" s="7"/>
      <c r="D3" s="7"/>
      <c r="E3" s="7"/>
      <c r="F3" s="7" t="s">
        <v>4</v>
      </c>
      <c r="G3" s="7"/>
      <c r="H3" s="7"/>
      <c r="I3" s="7"/>
      <c r="J3" s="7" t="s">
        <v>5</v>
      </c>
      <c r="K3" s="7"/>
    </row>
    <row r="4" spans="1:12" s="8" customFormat="1" ht="45.95" customHeight="1" x14ac:dyDescent="0.2">
      <c r="A4" s="6"/>
      <c r="B4" s="9" t="s">
        <v>6</v>
      </c>
      <c r="C4" s="9" t="s">
        <v>7</v>
      </c>
      <c r="D4" s="9" t="s">
        <v>8</v>
      </c>
      <c r="E4" s="9" t="s">
        <v>9</v>
      </c>
      <c r="F4" s="9" t="s">
        <v>6</v>
      </c>
      <c r="G4" s="9" t="s">
        <v>10</v>
      </c>
      <c r="H4" s="9" t="s">
        <v>8</v>
      </c>
      <c r="I4" s="9" t="s">
        <v>11</v>
      </c>
      <c r="J4" s="9" t="s">
        <v>12</v>
      </c>
      <c r="K4" s="9" t="s">
        <v>13</v>
      </c>
    </row>
    <row r="5" spans="1:12" ht="24.95" customHeight="1" x14ac:dyDescent="0.55000000000000004">
      <c r="A5" s="10" t="s">
        <v>14</v>
      </c>
      <c r="B5" s="11">
        <f>'[1]2568'!F5</f>
        <v>95</v>
      </c>
      <c r="C5" s="11">
        <f>'[1]2568'!G5</f>
        <v>194.39999999999998</v>
      </c>
      <c r="D5" s="12">
        <f>'[1]2568'!H5</f>
        <v>8351.9999999994234</v>
      </c>
      <c r="E5" s="12">
        <f>C5/B5</f>
        <v>2.0463157894736841</v>
      </c>
      <c r="F5" s="13">
        <v>94</v>
      </c>
      <c r="G5" s="13"/>
      <c r="H5" s="12"/>
      <c r="I5" s="12">
        <f>G5/F5</f>
        <v>0</v>
      </c>
      <c r="J5" s="14">
        <f>(G5-C5)/C5</f>
        <v>-1</v>
      </c>
      <c r="K5" s="15">
        <f>(I5-E5)/E5</f>
        <v>-1</v>
      </c>
    </row>
    <row r="6" spans="1:12" ht="24.95" customHeight="1" x14ac:dyDescent="0.55000000000000004">
      <c r="A6" s="10" t="s">
        <v>15</v>
      </c>
      <c r="B6" s="11">
        <f>'[1]2568'!F6</f>
        <v>95</v>
      </c>
      <c r="C6" s="11">
        <f>'[1]2568'!G6</f>
        <v>175.5</v>
      </c>
      <c r="D6" s="12">
        <f>'[1]2568'!H6</f>
        <v>7539.9999999994798</v>
      </c>
      <c r="E6" s="12">
        <f t="shared" ref="E6:E16" si="0">C6/B6</f>
        <v>1.8473684210526315</v>
      </c>
      <c r="F6" s="13">
        <v>94</v>
      </c>
      <c r="G6" s="13"/>
      <c r="H6" s="12"/>
      <c r="I6" s="12" t="s">
        <v>16</v>
      </c>
      <c r="J6" s="14">
        <f t="shared" ref="J6:J18" si="1">(G6-C6)/C6</f>
        <v>-1</v>
      </c>
      <c r="K6" s="15" t="e">
        <f t="shared" ref="K6:K18" si="2">(I6-E6)/E6</f>
        <v>#VALUE!</v>
      </c>
    </row>
    <row r="7" spans="1:12" ht="24.95" customHeight="1" x14ac:dyDescent="0.55000000000000004">
      <c r="A7" s="10" t="s">
        <v>17</v>
      </c>
      <c r="B7" s="11">
        <f>'[1]2568'!F7</f>
        <v>95</v>
      </c>
      <c r="C7" s="11">
        <f>'[1]2568'!G7</f>
        <v>245.70000000000002</v>
      </c>
      <c r="D7" s="12">
        <f>'[1]2568'!H7</f>
        <v>10555.999999999272</v>
      </c>
      <c r="E7" s="12">
        <f t="shared" si="0"/>
        <v>2.5863157894736846</v>
      </c>
      <c r="F7" s="13">
        <v>94</v>
      </c>
      <c r="G7" s="13"/>
      <c r="H7" s="12"/>
      <c r="I7" s="12">
        <f t="shared" ref="I7:I16" si="3">G7/F7</f>
        <v>0</v>
      </c>
      <c r="J7" s="14">
        <f t="shared" si="1"/>
        <v>-1</v>
      </c>
      <c r="K7" s="15">
        <f t="shared" si="2"/>
        <v>-1</v>
      </c>
    </row>
    <row r="8" spans="1:12" ht="24.95" customHeight="1" x14ac:dyDescent="0.55000000000000004">
      <c r="A8" s="10" t="s">
        <v>18</v>
      </c>
      <c r="B8" s="11">
        <f>'[1]2568'!F8</f>
        <v>95</v>
      </c>
      <c r="C8" s="11">
        <f>'[1]2568'!G8</f>
        <v>189</v>
      </c>
      <c r="D8" s="12">
        <f>'[1]2568'!H8</f>
        <v>8119.9999999994398</v>
      </c>
      <c r="E8" s="12">
        <f t="shared" si="0"/>
        <v>1.9894736842105263</v>
      </c>
      <c r="F8" s="13">
        <v>94</v>
      </c>
      <c r="G8" s="13"/>
      <c r="H8" s="12"/>
      <c r="I8" s="12">
        <f t="shared" si="3"/>
        <v>0</v>
      </c>
      <c r="J8" s="14">
        <f t="shared" si="1"/>
        <v>-1</v>
      </c>
      <c r="K8" s="15">
        <f t="shared" si="2"/>
        <v>-1</v>
      </c>
    </row>
    <row r="9" spans="1:12" ht="24.95" customHeight="1" x14ac:dyDescent="0.55000000000000004">
      <c r="A9" s="10" t="s">
        <v>19</v>
      </c>
      <c r="B9" s="11">
        <f>'[1]2568'!F9</f>
        <v>95</v>
      </c>
      <c r="C9" s="11">
        <f>'[1]2568'!G9</f>
        <v>126.90000000000002</v>
      </c>
      <c r="D9" s="12">
        <f>'[1]2568'!H9</f>
        <v>5451.9999999996244</v>
      </c>
      <c r="E9" s="12">
        <f t="shared" si="0"/>
        <v>1.3357894736842106</v>
      </c>
      <c r="F9" s="13">
        <v>94</v>
      </c>
      <c r="G9" s="13"/>
      <c r="H9" s="12"/>
      <c r="I9" s="12">
        <f t="shared" si="3"/>
        <v>0</v>
      </c>
      <c r="J9" s="14">
        <f t="shared" si="1"/>
        <v>-1</v>
      </c>
      <c r="K9" s="15">
        <f t="shared" si="2"/>
        <v>-1</v>
      </c>
    </row>
    <row r="10" spans="1:12" ht="24.95" customHeight="1" x14ac:dyDescent="0.55000000000000004">
      <c r="A10" s="10" t="s">
        <v>20</v>
      </c>
      <c r="B10" s="11">
        <f>'[1]2568'!F10</f>
        <v>95</v>
      </c>
      <c r="C10" s="11">
        <f>'[1]2568'!G10</f>
        <v>183.6</v>
      </c>
      <c r="D10" s="12">
        <f>'[1]2568'!H10</f>
        <v>7887.9999999994552</v>
      </c>
      <c r="E10" s="12">
        <f t="shared" si="0"/>
        <v>1.9326315789473683</v>
      </c>
      <c r="F10" s="13">
        <v>94</v>
      </c>
      <c r="G10" s="13"/>
      <c r="H10" s="12"/>
      <c r="I10" s="12">
        <f t="shared" si="3"/>
        <v>0</v>
      </c>
      <c r="J10" s="14">
        <f t="shared" si="1"/>
        <v>-1</v>
      </c>
      <c r="K10" s="15">
        <f t="shared" si="2"/>
        <v>-1</v>
      </c>
    </row>
    <row r="11" spans="1:12" ht="24.95" customHeight="1" x14ac:dyDescent="0.55000000000000004">
      <c r="A11" s="10" t="s">
        <v>21</v>
      </c>
      <c r="B11" s="11">
        <f>'[1]2568'!F11</f>
        <v>95</v>
      </c>
      <c r="C11" s="11">
        <f>'[1]2568'!G11</f>
        <v>159.30000000000001</v>
      </c>
      <c r="D11" s="12">
        <f>'[1]2568'!H11</f>
        <v>6843.999999999528</v>
      </c>
      <c r="E11" s="12">
        <f t="shared" si="0"/>
        <v>1.6768421052631579</v>
      </c>
      <c r="F11" s="13">
        <v>94</v>
      </c>
      <c r="G11" s="13"/>
      <c r="H11" s="12"/>
      <c r="I11" s="12">
        <f t="shared" si="3"/>
        <v>0</v>
      </c>
      <c r="J11" s="14">
        <f t="shared" si="1"/>
        <v>-1</v>
      </c>
      <c r="K11" s="15">
        <f t="shared" si="2"/>
        <v>-1</v>
      </c>
    </row>
    <row r="12" spans="1:12" ht="24.95" customHeight="1" x14ac:dyDescent="0.55000000000000004">
      <c r="A12" s="10" t="s">
        <v>22</v>
      </c>
      <c r="B12" s="11">
        <f>'[1]2568'!F12</f>
        <v>95</v>
      </c>
      <c r="C12" s="11">
        <f>'[1]2568'!G12</f>
        <v>206.55</v>
      </c>
      <c r="D12" s="12">
        <f>'[1]2568'!H12</f>
        <v>8873.9999999993888</v>
      </c>
      <c r="E12" s="12">
        <f t="shared" si="0"/>
        <v>2.1742105263157896</v>
      </c>
      <c r="F12" s="13">
        <v>94</v>
      </c>
      <c r="G12" s="13"/>
      <c r="H12" s="12"/>
      <c r="I12" s="12">
        <f t="shared" si="3"/>
        <v>0</v>
      </c>
      <c r="J12" s="14">
        <f t="shared" si="1"/>
        <v>-1</v>
      </c>
      <c r="K12" s="15">
        <f t="shared" si="2"/>
        <v>-1</v>
      </c>
    </row>
    <row r="13" spans="1:12" ht="24.95" customHeight="1" x14ac:dyDescent="0.55000000000000004">
      <c r="A13" s="10" t="s">
        <v>23</v>
      </c>
      <c r="B13" s="11">
        <f>'[1]2568'!F13</f>
        <v>95</v>
      </c>
      <c r="C13" s="11">
        <f>'[1]2568'!G13</f>
        <v>198.45000000000002</v>
      </c>
      <c r="D13" s="12">
        <f>'[1]2568'!H13</f>
        <v>8525.9999999994125</v>
      </c>
      <c r="E13" s="12">
        <f t="shared" si="0"/>
        <v>2.0889473684210529</v>
      </c>
      <c r="F13" s="13">
        <v>94</v>
      </c>
      <c r="G13" s="13"/>
      <c r="H13" s="12"/>
      <c r="I13" s="12">
        <f t="shared" si="3"/>
        <v>0</v>
      </c>
      <c r="J13" s="14">
        <f t="shared" si="1"/>
        <v>-1</v>
      </c>
      <c r="K13" s="15">
        <f t="shared" si="2"/>
        <v>-1</v>
      </c>
    </row>
    <row r="14" spans="1:12" ht="24.95" customHeight="1" x14ac:dyDescent="0.55000000000000004">
      <c r="A14" s="10" t="s">
        <v>24</v>
      </c>
      <c r="B14" s="11">
        <f>'[1]2568'!F14</f>
        <v>95</v>
      </c>
      <c r="C14" s="11">
        <f>'[1]2568'!G14</f>
        <v>140.4</v>
      </c>
      <c r="D14" s="12">
        <f>'[1]2568'!H14</f>
        <v>6031.9999999995844</v>
      </c>
      <c r="E14" s="12">
        <f t="shared" si="0"/>
        <v>1.4778947368421054</v>
      </c>
      <c r="F14" s="13">
        <v>94</v>
      </c>
      <c r="G14" s="13"/>
      <c r="H14" s="12"/>
      <c r="I14" s="12">
        <f t="shared" si="3"/>
        <v>0</v>
      </c>
      <c r="J14" s="14">
        <f t="shared" si="1"/>
        <v>-1</v>
      </c>
      <c r="K14" s="15">
        <f t="shared" si="2"/>
        <v>-1</v>
      </c>
    </row>
    <row r="15" spans="1:12" ht="24.95" customHeight="1" x14ac:dyDescent="0.55000000000000004">
      <c r="A15" s="10" t="s">
        <v>25</v>
      </c>
      <c r="B15" s="11">
        <f>'[1]2568'!F15</f>
        <v>95</v>
      </c>
      <c r="C15" s="11">
        <f>'[1]2568'!G15</f>
        <v>213.3</v>
      </c>
      <c r="D15" s="12">
        <f>'[1]2568'!H15</f>
        <v>9163.9999999993688</v>
      </c>
      <c r="E15" s="12">
        <f t="shared" si="0"/>
        <v>2.2452631578947368</v>
      </c>
      <c r="F15" s="13">
        <v>94</v>
      </c>
      <c r="G15" s="13"/>
      <c r="H15" s="12"/>
      <c r="I15" s="12">
        <f t="shared" si="3"/>
        <v>0</v>
      </c>
      <c r="J15" s="14">
        <f t="shared" si="1"/>
        <v>-1</v>
      </c>
      <c r="K15" s="15">
        <f t="shared" si="2"/>
        <v>-1</v>
      </c>
    </row>
    <row r="16" spans="1:12" ht="24.95" customHeight="1" x14ac:dyDescent="0.55000000000000004">
      <c r="A16" s="10" t="s">
        <v>26</v>
      </c>
      <c r="B16" s="11">
        <f>'[1]2568'!F16</f>
        <v>95</v>
      </c>
      <c r="C16" s="11">
        <f>'[1]2568'!G16</f>
        <v>164.70000000000002</v>
      </c>
      <c r="D16" s="12">
        <f>'[1]2568'!H16</f>
        <v>7075.9999999995125</v>
      </c>
      <c r="E16" s="12">
        <f t="shared" si="0"/>
        <v>1.7336842105263159</v>
      </c>
      <c r="F16" s="13">
        <v>94</v>
      </c>
      <c r="G16" s="13"/>
      <c r="H16" s="12"/>
      <c r="I16" s="12">
        <f t="shared" si="3"/>
        <v>0</v>
      </c>
      <c r="J16" s="14">
        <f t="shared" si="1"/>
        <v>-1</v>
      </c>
      <c r="K16" s="15">
        <f t="shared" si="2"/>
        <v>-1</v>
      </c>
    </row>
    <row r="17" spans="1:11" ht="24.95" customHeight="1" x14ac:dyDescent="0.55000000000000004">
      <c r="A17" s="10" t="s">
        <v>27</v>
      </c>
      <c r="B17" s="12">
        <f t="shared" ref="B17:H17" si="4">AVERAGE(B5:B16)</f>
        <v>95</v>
      </c>
      <c r="C17" s="12">
        <f t="shared" si="4"/>
        <v>183.14999999999998</v>
      </c>
      <c r="D17" s="12">
        <f t="shared" si="4"/>
        <v>7868.6666666661231</v>
      </c>
      <c r="E17" s="12">
        <f t="shared" si="4"/>
        <v>1.9278947368421055</v>
      </c>
      <c r="F17" s="12">
        <f t="shared" si="4"/>
        <v>94</v>
      </c>
      <c r="G17" s="12" t="e">
        <f t="shared" si="4"/>
        <v>#DIV/0!</v>
      </c>
      <c r="H17" s="12" t="e">
        <f t="shared" si="4"/>
        <v>#DIV/0!</v>
      </c>
      <c r="I17" s="12" t="e">
        <f>G17/F17</f>
        <v>#DIV/0!</v>
      </c>
      <c r="J17" s="14" t="e">
        <f>(G17-C17)/C17</f>
        <v>#DIV/0!</v>
      </c>
      <c r="K17" s="15" t="e">
        <f>(I17-E17)/E17</f>
        <v>#DIV/0!</v>
      </c>
    </row>
    <row r="18" spans="1:11" ht="24.95" customHeight="1" x14ac:dyDescent="0.55000000000000004">
      <c r="A18" s="10" t="s">
        <v>28</v>
      </c>
      <c r="B18" s="12">
        <f t="shared" ref="B18:I18" si="5">SUM(B5:B16)</f>
        <v>1140</v>
      </c>
      <c r="C18" s="12">
        <f t="shared" si="5"/>
        <v>2197.7999999999997</v>
      </c>
      <c r="D18" s="12">
        <f t="shared" si="5"/>
        <v>94423.999999993481</v>
      </c>
      <c r="E18" s="12">
        <f t="shared" si="5"/>
        <v>23.134736842105266</v>
      </c>
      <c r="F18" s="12">
        <f t="shared" si="5"/>
        <v>1128</v>
      </c>
      <c r="G18" s="12">
        <f t="shared" si="5"/>
        <v>0</v>
      </c>
      <c r="H18" s="12">
        <f t="shared" si="5"/>
        <v>0</v>
      </c>
      <c r="I18" s="12">
        <f t="shared" si="5"/>
        <v>0</v>
      </c>
      <c r="J18" s="14">
        <f t="shared" si="1"/>
        <v>-1</v>
      </c>
      <c r="K18" s="15">
        <f t="shared" si="2"/>
        <v>-1</v>
      </c>
    </row>
    <row r="19" spans="1:11" ht="11.45" customHeight="1" x14ac:dyDescent="0.55000000000000004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8"/>
    </row>
    <row r="20" spans="1:11" ht="21.75" customHeight="1" x14ac:dyDescent="0.55000000000000004">
      <c r="A20" s="1"/>
      <c r="B20" s="17"/>
      <c r="C20" s="17"/>
      <c r="D20" s="17"/>
      <c r="E20" s="17"/>
      <c r="F20" s="17"/>
      <c r="G20" s="17"/>
      <c r="H20" s="17"/>
      <c r="I20" s="17"/>
      <c r="J20" s="17"/>
      <c r="K20" s="18"/>
    </row>
    <row r="21" spans="1:11" ht="21.75" customHeight="1" x14ac:dyDescent="0.55000000000000004">
      <c r="A21" s="16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40" spans="1:12" ht="21.95" customHeight="1" x14ac:dyDescent="0.35"/>
    <row r="43" spans="1:12" ht="21.75" customHeight="1" x14ac:dyDescent="0.35">
      <c r="A43" s="20" t="s">
        <v>29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 ht="21.75" customHeight="1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 ht="21.75" customHeight="1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spans="1:12" ht="21.75" customHeight="1" x14ac:dyDescent="0.3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spans="1:12" ht="39.950000000000003" customHeight="1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spans="1:12" ht="38.450000000000003" customHeight="1" x14ac:dyDescent="0.35">
      <c r="A48" s="21"/>
      <c r="B48" s="21"/>
      <c r="C48" s="22"/>
      <c r="D48" s="23"/>
      <c r="E48" s="23" t="s">
        <v>30</v>
      </c>
      <c r="F48" s="23"/>
      <c r="G48" s="23"/>
      <c r="H48" s="23" t="s">
        <v>31</v>
      </c>
      <c r="I48" s="23"/>
      <c r="J48" s="21"/>
      <c r="K48" s="21"/>
      <c r="L48" s="21"/>
    </row>
    <row r="49" spans="1:12" ht="42" customHeight="1" x14ac:dyDescent="0.35">
      <c r="A49" s="24" t="s">
        <v>32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spans="1:12" s="26" customFormat="1" ht="30" customHeight="1" x14ac:dyDescent="0.2">
      <c r="A50" s="25" t="s">
        <v>33</v>
      </c>
      <c r="B50" s="25"/>
      <c r="C50" s="25"/>
      <c r="D50" s="25" t="s">
        <v>30</v>
      </c>
      <c r="E50" s="25"/>
      <c r="F50" s="25"/>
      <c r="G50" s="25" t="s">
        <v>31</v>
      </c>
      <c r="H50" s="25"/>
      <c r="I50" s="25"/>
      <c r="J50" s="25"/>
      <c r="K50" s="25"/>
      <c r="L50" s="25"/>
    </row>
    <row r="51" spans="1:12" s="26" customFormat="1" ht="50.1" customHeight="1" x14ac:dyDescent="0.2">
      <c r="A51" s="27" t="s">
        <v>34</v>
      </c>
      <c r="B51" s="27"/>
      <c r="C51" s="28"/>
      <c r="D51" s="29"/>
      <c r="E51" s="29"/>
      <c r="F51" s="29"/>
      <c r="G51" s="29"/>
      <c r="H51" s="29"/>
      <c r="I51" s="29"/>
      <c r="J51" s="29"/>
      <c r="K51" s="29"/>
      <c r="L51" s="29"/>
    </row>
    <row r="52" spans="1:12" s="26" customFormat="1" ht="50.1" customHeight="1" x14ac:dyDescent="0.2">
      <c r="A52" s="30" t="s">
        <v>35</v>
      </c>
      <c r="B52" s="30"/>
      <c r="C52" s="31"/>
      <c r="D52" s="32"/>
      <c r="E52" s="29"/>
      <c r="F52" s="29"/>
      <c r="G52" s="29"/>
      <c r="H52" s="29"/>
      <c r="I52" s="29"/>
      <c r="J52" s="29"/>
      <c r="K52" s="29"/>
      <c r="L52" s="29"/>
    </row>
    <row r="53" spans="1:12" s="26" customFormat="1" ht="50.1" customHeight="1" x14ac:dyDescent="0.2">
      <c r="A53" s="27" t="s">
        <v>36</v>
      </c>
      <c r="B53" s="27"/>
      <c r="C53" s="27"/>
      <c r="D53" s="29"/>
      <c r="E53" s="29"/>
      <c r="F53" s="29"/>
      <c r="G53" s="29"/>
      <c r="H53" s="29"/>
      <c r="I53" s="29"/>
      <c r="J53" s="29"/>
      <c r="K53" s="29"/>
      <c r="L53" s="29"/>
    </row>
    <row r="54" spans="1:12" s="26" customFormat="1" ht="30" customHeight="1" x14ac:dyDescent="0.2">
      <c r="A54" s="25" t="s">
        <v>37</v>
      </c>
      <c r="B54" s="25"/>
      <c r="C54" s="25"/>
      <c r="D54" s="25" t="s">
        <v>30</v>
      </c>
      <c r="E54" s="25"/>
      <c r="F54" s="25"/>
      <c r="G54" s="25" t="s">
        <v>31</v>
      </c>
      <c r="H54" s="25"/>
      <c r="I54" s="25"/>
      <c r="J54" s="25"/>
      <c r="K54" s="25"/>
      <c r="L54" s="25"/>
    </row>
    <row r="55" spans="1:12" s="26" customFormat="1" ht="50.1" customHeight="1" x14ac:dyDescent="0.2">
      <c r="A55" s="27" t="s">
        <v>34</v>
      </c>
      <c r="B55" s="27"/>
      <c r="C55" s="27"/>
      <c r="D55" s="27"/>
      <c r="E55" s="29"/>
      <c r="F55" s="29"/>
      <c r="G55" s="29"/>
      <c r="H55" s="29"/>
      <c r="I55" s="29"/>
      <c r="J55" s="29"/>
      <c r="K55" s="29"/>
      <c r="L55" s="29"/>
    </row>
    <row r="56" spans="1:12" s="26" customFormat="1" ht="50.1" customHeight="1" x14ac:dyDescent="0.2">
      <c r="A56" s="30" t="s">
        <v>35</v>
      </c>
      <c r="B56" s="30"/>
      <c r="C56" s="31"/>
      <c r="D56" s="32"/>
      <c r="E56" s="29"/>
      <c r="F56" s="29"/>
      <c r="G56" s="29"/>
      <c r="H56" s="29"/>
      <c r="I56" s="29"/>
      <c r="J56" s="29"/>
      <c r="K56" s="29"/>
      <c r="L56" s="29"/>
    </row>
    <row r="57" spans="1:12" s="26" customFormat="1" ht="50.1" customHeight="1" x14ac:dyDescent="0.2">
      <c r="A57" s="27" t="s">
        <v>36</v>
      </c>
      <c r="B57" s="27"/>
      <c r="C57" s="27"/>
      <c r="D57" s="29"/>
      <c r="E57" s="29"/>
      <c r="F57" s="29"/>
      <c r="G57" s="29"/>
      <c r="H57" s="29"/>
      <c r="I57" s="29"/>
      <c r="J57" s="29"/>
      <c r="K57" s="29"/>
      <c r="L57" s="29"/>
    </row>
    <row r="58" spans="1:12" s="26" customFormat="1" ht="30" customHeight="1" x14ac:dyDescent="0.2">
      <c r="A58" s="25" t="s">
        <v>38</v>
      </c>
      <c r="B58" s="25"/>
      <c r="C58" s="25"/>
      <c r="D58" s="25" t="s">
        <v>30</v>
      </c>
      <c r="E58" s="25"/>
      <c r="F58" s="25"/>
      <c r="G58" s="25" t="s">
        <v>31</v>
      </c>
      <c r="H58" s="25"/>
      <c r="I58" s="25"/>
      <c r="J58" s="25"/>
      <c r="K58" s="25"/>
      <c r="L58" s="25"/>
    </row>
    <row r="59" spans="1:12" s="26" customFormat="1" ht="50.1" customHeight="1" x14ac:dyDescent="0.2">
      <c r="A59" s="27" t="s">
        <v>34</v>
      </c>
      <c r="B59" s="27"/>
      <c r="C59" s="27"/>
      <c r="D59" s="27"/>
      <c r="E59" s="29"/>
      <c r="F59" s="29"/>
      <c r="G59" s="29"/>
      <c r="H59" s="29"/>
      <c r="I59" s="29"/>
      <c r="J59" s="29"/>
      <c r="K59" s="29"/>
      <c r="L59" s="29"/>
    </row>
    <row r="60" spans="1:12" s="26" customFormat="1" ht="50.1" customHeight="1" x14ac:dyDescent="0.2">
      <c r="A60" s="33" t="s">
        <v>35</v>
      </c>
      <c r="B60" s="33"/>
      <c r="C60" s="31"/>
      <c r="D60" s="32"/>
      <c r="E60" s="29"/>
      <c r="F60" s="29"/>
      <c r="G60" s="29"/>
      <c r="H60" s="29"/>
      <c r="I60" s="29"/>
      <c r="J60" s="29"/>
      <c r="K60" s="29"/>
      <c r="L60" s="29"/>
    </row>
    <row r="61" spans="1:12" s="26" customFormat="1" ht="50.1" customHeight="1" x14ac:dyDescent="0.2">
      <c r="A61" s="27" t="s">
        <v>36</v>
      </c>
      <c r="B61" s="27"/>
      <c r="C61" s="27"/>
      <c r="D61" s="29"/>
      <c r="E61" s="29"/>
      <c r="F61" s="29"/>
      <c r="G61" s="29"/>
      <c r="H61" s="29"/>
      <c r="I61" s="29"/>
      <c r="J61" s="29"/>
      <c r="K61" s="29"/>
      <c r="L61" s="29"/>
    </row>
    <row r="62" spans="1:12" s="26" customFormat="1" ht="30" customHeight="1" x14ac:dyDescent="0.2">
      <c r="A62" s="25" t="s">
        <v>39</v>
      </c>
      <c r="B62" s="25"/>
      <c r="C62" s="25"/>
      <c r="D62" s="25" t="s">
        <v>30</v>
      </c>
      <c r="E62" s="25"/>
      <c r="F62" s="25"/>
      <c r="G62" s="25" t="s">
        <v>31</v>
      </c>
      <c r="H62" s="25"/>
      <c r="I62" s="25"/>
      <c r="J62" s="25"/>
      <c r="K62" s="25"/>
      <c r="L62" s="25"/>
    </row>
    <row r="63" spans="1:12" s="26" customFormat="1" ht="50.1" customHeight="1" x14ac:dyDescent="0.2">
      <c r="A63" s="27" t="s">
        <v>34</v>
      </c>
      <c r="B63" s="27"/>
      <c r="C63" s="27"/>
      <c r="D63" s="27"/>
      <c r="E63" s="29"/>
      <c r="F63" s="29"/>
      <c r="G63" s="29"/>
      <c r="H63" s="29"/>
      <c r="I63" s="29"/>
      <c r="J63" s="29"/>
      <c r="K63" s="29"/>
      <c r="L63" s="29"/>
    </row>
    <row r="64" spans="1:12" s="26" customFormat="1" ht="50.1" customHeight="1" x14ac:dyDescent="0.2">
      <c r="A64" s="33" t="s">
        <v>35</v>
      </c>
      <c r="B64" s="33"/>
      <c r="C64" s="31"/>
      <c r="D64" s="32"/>
      <c r="E64" s="29"/>
      <c r="F64" s="29"/>
      <c r="G64" s="29"/>
      <c r="H64" s="29"/>
      <c r="I64" s="29"/>
      <c r="J64" s="29"/>
      <c r="K64" s="29"/>
      <c r="L64" s="29"/>
    </row>
    <row r="65" spans="1:12" s="26" customFormat="1" ht="50.1" customHeight="1" x14ac:dyDescent="0.2">
      <c r="A65" s="27" t="s">
        <v>36</v>
      </c>
      <c r="B65" s="27"/>
      <c r="C65" s="27"/>
      <c r="D65" s="29"/>
      <c r="E65" s="29"/>
      <c r="F65" s="29"/>
      <c r="G65" s="29"/>
      <c r="H65" s="29"/>
      <c r="I65" s="29"/>
      <c r="J65" s="29"/>
      <c r="K65" s="29"/>
      <c r="L65" s="29"/>
    </row>
    <row r="66" spans="1:12" s="26" customFormat="1" ht="30" customHeight="1" x14ac:dyDescent="0.2">
      <c r="A66" s="25" t="s">
        <v>40</v>
      </c>
      <c r="B66" s="25"/>
      <c r="C66" s="25"/>
      <c r="D66" s="25" t="s">
        <v>30</v>
      </c>
      <c r="E66" s="25"/>
      <c r="F66" s="25"/>
      <c r="G66" s="25" t="s">
        <v>31</v>
      </c>
      <c r="H66" s="25"/>
      <c r="I66" s="25"/>
      <c r="J66" s="25"/>
      <c r="K66" s="25"/>
      <c r="L66" s="25"/>
    </row>
    <row r="67" spans="1:12" s="26" customFormat="1" ht="50.1" customHeight="1" x14ac:dyDescent="0.2">
      <c r="A67" s="27" t="s">
        <v>34</v>
      </c>
      <c r="B67" s="27"/>
      <c r="C67" s="27"/>
      <c r="D67" s="27"/>
      <c r="E67" s="29"/>
      <c r="F67" s="29"/>
      <c r="G67" s="29"/>
      <c r="H67" s="29"/>
      <c r="I67" s="29"/>
      <c r="J67" s="29"/>
      <c r="K67" s="29"/>
      <c r="L67" s="29"/>
    </row>
    <row r="68" spans="1:12" s="26" customFormat="1" ht="50.1" customHeight="1" x14ac:dyDescent="0.2">
      <c r="A68" s="33" t="s">
        <v>35</v>
      </c>
      <c r="B68" s="33"/>
      <c r="C68" s="31"/>
      <c r="D68" s="29"/>
      <c r="E68" s="29"/>
      <c r="F68" s="29"/>
      <c r="G68" s="29"/>
      <c r="H68" s="29"/>
      <c r="I68" s="29"/>
      <c r="J68" s="29"/>
      <c r="K68" s="29"/>
      <c r="L68" s="29"/>
    </row>
    <row r="69" spans="1:12" s="26" customFormat="1" ht="50.1" customHeight="1" x14ac:dyDescent="0.2">
      <c r="A69" s="27" t="s">
        <v>36</v>
      </c>
      <c r="B69" s="27"/>
      <c r="C69" s="27"/>
      <c r="D69" s="29"/>
      <c r="E69" s="29"/>
      <c r="F69" s="29"/>
      <c r="G69" s="29"/>
      <c r="H69" s="29"/>
      <c r="I69" s="29"/>
      <c r="J69" s="29"/>
      <c r="K69" s="29"/>
      <c r="L69" s="29"/>
    </row>
    <row r="70" spans="1:12" s="26" customFormat="1" ht="30" customHeight="1" x14ac:dyDescent="0.2">
      <c r="A70" s="25" t="s">
        <v>41</v>
      </c>
      <c r="B70" s="25"/>
      <c r="C70" s="25"/>
      <c r="D70" s="25" t="s">
        <v>30</v>
      </c>
      <c r="E70" s="25"/>
      <c r="F70" s="25"/>
      <c r="G70" s="25" t="s">
        <v>31</v>
      </c>
      <c r="H70" s="25"/>
      <c r="I70" s="25"/>
      <c r="J70" s="25"/>
      <c r="K70" s="25"/>
      <c r="L70" s="25"/>
    </row>
    <row r="71" spans="1:12" s="26" customFormat="1" ht="50.1" customHeight="1" x14ac:dyDescent="0.2">
      <c r="A71" s="27" t="s">
        <v>34</v>
      </c>
      <c r="B71" s="27"/>
      <c r="C71" s="27"/>
      <c r="D71" s="27"/>
      <c r="E71" s="29"/>
      <c r="F71" s="29"/>
      <c r="G71" s="29"/>
      <c r="H71" s="29"/>
      <c r="I71" s="29"/>
      <c r="J71" s="29"/>
      <c r="K71" s="29"/>
      <c r="L71" s="29"/>
    </row>
    <row r="72" spans="1:12" s="26" customFormat="1" ht="50.1" customHeight="1" x14ac:dyDescent="0.2">
      <c r="A72" s="33" t="s">
        <v>35</v>
      </c>
      <c r="B72" s="33"/>
      <c r="C72" s="31"/>
      <c r="D72" s="32"/>
      <c r="E72" s="29"/>
      <c r="F72" s="29"/>
      <c r="G72" s="29"/>
      <c r="H72" s="29"/>
      <c r="I72" s="29"/>
      <c r="J72" s="29"/>
      <c r="K72" s="29"/>
      <c r="L72" s="29"/>
    </row>
    <row r="73" spans="1:12" s="26" customFormat="1" ht="50.1" customHeight="1" x14ac:dyDescent="0.2">
      <c r="A73" s="27" t="s">
        <v>36</v>
      </c>
      <c r="B73" s="27"/>
      <c r="C73" s="27"/>
      <c r="D73" s="29"/>
      <c r="E73" s="34"/>
      <c r="F73" s="34"/>
      <c r="G73" s="29"/>
      <c r="H73" s="29"/>
      <c r="I73" s="29"/>
      <c r="J73" s="29"/>
      <c r="K73" s="29"/>
      <c r="L73" s="29"/>
    </row>
    <row r="74" spans="1:12" s="26" customFormat="1" ht="30" customHeight="1" x14ac:dyDescent="0.2">
      <c r="A74" s="25" t="s">
        <v>42</v>
      </c>
      <c r="B74" s="25"/>
      <c r="C74" s="25"/>
      <c r="D74" s="25" t="s">
        <v>30</v>
      </c>
      <c r="E74" s="25"/>
      <c r="F74" s="25"/>
      <c r="G74" s="25" t="s">
        <v>31</v>
      </c>
      <c r="H74" s="25"/>
      <c r="I74" s="25"/>
      <c r="J74" s="25"/>
      <c r="K74" s="25"/>
      <c r="L74" s="25"/>
    </row>
    <row r="75" spans="1:12" s="26" customFormat="1" ht="39.950000000000003" customHeight="1" x14ac:dyDescent="0.2">
      <c r="A75" s="27" t="s">
        <v>34</v>
      </c>
      <c r="B75" s="27"/>
      <c r="C75" s="28"/>
      <c r="D75" s="29"/>
      <c r="E75" s="29"/>
      <c r="F75" s="29"/>
      <c r="G75" s="29"/>
      <c r="H75" s="29"/>
      <c r="I75" s="29"/>
      <c r="J75" s="29"/>
      <c r="K75" s="29"/>
      <c r="L75" s="29"/>
    </row>
    <row r="76" spans="1:12" s="26" customFormat="1" ht="39.950000000000003" customHeight="1" x14ac:dyDescent="0.2">
      <c r="A76" s="30" t="s">
        <v>35</v>
      </c>
      <c r="B76" s="30"/>
      <c r="C76" s="31"/>
      <c r="D76" s="32"/>
      <c r="E76" s="29"/>
      <c r="F76" s="29"/>
      <c r="G76" s="29"/>
      <c r="H76" s="29"/>
      <c r="I76" s="29"/>
      <c r="J76" s="29"/>
      <c r="K76" s="29"/>
      <c r="L76" s="29"/>
    </row>
    <row r="77" spans="1:12" s="26" customFormat="1" ht="39.950000000000003" customHeight="1" x14ac:dyDescent="0.2">
      <c r="A77" s="27" t="s">
        <v>36</v>
      </c>
      <c r="B77" s="27"/>
      <c r="C77" s="27"/>
      <c r="D77" s="29"/>
      <c r="E77" s="29"/>
      <c r="F77" s="29"/>
      <c r="G77" s="29"/>
      <c r="H77" s="29"/>
      <c r="I77" s="29"/>
      <c r="J77" s="29"/>
      <c r="K77" s="29"/>
      <c r="L77" s="29"/>
    </row>
    <row r="78" spans="1:12" s="26" customFormat="1" ht="30" customHeight="1" x14ac:dyDescent="0.2">
      <c r="A78" s="25" t="s">
        <v>43</v>
      </c>
      <c r="B78" s="25"/>
      <c r="C78" s="25"/>
      <c r="D78" s="25" t="s">
        <v>30</v>
      </c>
      <c r="E78" s="25"/>
      <c r="F78" s="25"/>
      <c r="G78" s="25" t="s">
        <v>31</v>
      </c>
      <c r="H78" s="25"/>
      <c r="I78" s="25"/>
      <c r="J78" s="25"/>
      <c r="K78" s="25"/>
      <c r="L78" s="25"/>
    </row>
    <row r="79" spans="1:12" s="26" customFormat="1" ht="39.950000000000003" customHeight="1" x14ac:dyDescent="0.2">
      <c r="A79" s="27" t="s">
        <v>34</v>
      </c>
      <c r="B79" s="27"/>
      <c r="C79" s="27"/>
      <c r="D79" s="27"/>
      <c r="E79" s="29"/>
      <c r="F79" s="29"/>
      <c r="G79" s="29"/>
      <c r="H79" s="29"/>
      <c r="I79" s="29"/>
      <c r="J79" s="29"/>
      <c r="K79" s="29"/>
      <c r="L79" s="29"/>
    </row>
    <row r="80" spans="1:12" s="26" customFormat="1" ht="39.950000000000003" customHeight="1" x14ac:dyDescent="0.2">
      <c r="A80" s="30" t="s">
        <v>35</v>
      </c>
      <c r="B80" s="30"/>
      <c r="C80" s="31"/>
      <c r="D80" s="32"/>
      <c r="E80" s="29"/>
      <c r="F80" s="29"/>
      <c r="G80" s="29"/>
      <c r="H80" s="29"/>
      <c r="I80" s="29"/>
      <c r="J80" s="29"/>
      <c r="K80" s="29"/>
      <c r="L80" s="29"/>
    </row>
    <row r="81" spans="1:20" s="26" customFormat="1" ht="39.950000000000003" customHeight="1" x14ac:dyDescent="0.2">
      <c r="A81" s="27" t="s">
        <v>36</v>
      </c>
      <c r="B81" s="27"/>
      <c r="C81" s="27"/>
      <c r="D81" s="29"/>
      <c r="E81" s="29"/>
      <c r="F81" s="29"/>
      <c r="G81" s="29"/>
      <c r="H81" s="29"/>
      <c r="I81" s="29"/>
      <c r="J81" s="29"/>
      <c r="K81" s="29"/>
      <c r="L81" s="29"/>
    </row>
    <row r="82" spans="1:20" s="26" customFormat="1" ht="30" customHeight="1" x14ac:dyDescent="0.2">
      <c r="A82" s="25" t="s">
        <v>44</v>
      </c>
      <c r="B82" s="25"/>
      <c r="C82" s="25"/>
      <c r="D82" s="25" t="s">
        <v>30</v>
      </c>
      <c r="E82" s="25"/>
      <c r="F82" s="25"/>
      <c r="G82" s="25" t="s">
        <v>31</v>
      </c>
      <c r="H82" s="25"/>
      <c r="I82" s="25"/>
      <c r="J82" s="25"/>
      <c r="K82" s="25"/>
      <c r="L82" s="25"/>
    </row>
    <row r="83" spans="1:20" s="26" customFormat="1" ht="39.950000000000003" customHeight="1" x14ac:dyDescent="0.2">
      <c r="A83" s="27" t="s">
        <v>34</v>
      </c>
      <c r="B83" s="27"/>
      <c r="C83" s="27"/>
      <c r="D83" s="27"/>
      <c r="E83" s="29"/>
      <c r="F83" s="29"/>
      <c r="G83" s="29"/>
      <c r="H83" s="29"/>
      <c r="I83" s="29"/>
      <c r="J83" s="29"/>
      <c r="K83" s="29"/>
      <c r="L83" s="29"/>
      <c r="M83" s="35"/>
      <c r="N83" s="35"/>
      <c r="O83" s="35"/>
      <c r="P83" s="35"/>
      <c r="Q83" s="35"/>
      <c r="R83" s="35"/>
      <c r="S83" s="35"/>
      <c r="T83" s="35"/>
    </row>
    <row r="84" spans="1:20" s="26" customFormat="1" ht="39.950000000000003" customHeight="1" x14ac:dyDescent="0.2">
      <c r="A84" s="33" t="s">
        <v>35</v>
      </c>
      <c r="B84" s="33"/>
      <c r="C84" s="31"/>
      <c r="D84" s="32"/>
      <c r="E84" s="29"/>
      <c r="F84" s="29"/>
      <c r="G84" s="29"/>
      <c r="H84" s="29"/>
      <c r="I84" s="29"/>
      <c r="J84" s="29"/>
      <c r="K84" s="29"/>
      <c r="L84" s="29"/>
      <c r="M84" s="35"/>
      <c r="N84" s="35"/>
      <c r="O84" s="35"/>
      <c r="P84" s="35"/>
      <c r="Q84" s="35"/>
      <c r="R84" s="35"/>
      <c r="S84" s="35"/>
      <c r="T84" s="35"/>
    </row>
    <row r="85" spans="1:20" s="26" customFormat="1" ht="39.950000000000003" customHeight="1" x14ac:dyDescent="0.2">
      <c r="A85" s="27" t="s">
        <v>36</v>
      </c>
      <c r="B85" s="27"/>
      <c r="C85" s="27"/>
      <c r="D85" s="29"/>
      <c r="E85" s="29"/>
      <c r="F85" s="29"/>
      <c r="G85" s="29"/>
      <c r="H85" s="29"/>
      <c r="I85" s="29"/>
      <c r="J85" s="29"/>
      <c r="K85" s="29"/>
      <c r="L85" s="29"/>
      <c r="M85" s="35"/>
      <c r="N85" s="35"/>
      <c r="O85" s="35"/>
      <c r="P85" s="35"/>
      <c r="Q85" s="35"/>
      <c r="R85" s="35"/>
      <c r="S85" s="35"/>
      <c r="T85" s="35"/>
    </row>
    <row r="86" spans="1:20" s="26" customFormat="1" ht="30" customHeight="1" x14ac:dyDescent="0.2">
      <c r="A86" s="25" t="s">
        <v>45</v>
      </c>
      <c r="B86" s="25"/>
      <c r="C86" s="25"/>
      <c r="D86" s="25" t="s">
        <v>30</v>
      </c>
      <c r="E86" s="25"/>
      <c r="F86" s="25"/>
      <c r="G86" s="25" t="s">
        <v>31</v>
      </c>
      <c r="H86" s="25"/>
      <c r="I86" s="25"/>
      <c r="J86" s="25"/>
      <c r="K86" s="25"/>
      <c r="L86" s="25"/>
    </row>
    <row r="87" spans="1:20" s="36" customFormat="1" ht="39.950000000000003" customHeight="1" x14ac:dyDescent="0.55000000000000004">
      <c r="A87" s="27" t="s">
        <v>34</v>
      </c>
      <c r="B87" s="27"/>
      <c r="C87" s="27"/>
      <c r="D87" s="27"/>
      <c r="E87" s="29"/>
      <c r="F87" s="29"/>
      <c r="G87" s="29"/>
      <c r="H87" s="29"/>
      <c r="I87" s="29"/>
      <c r="J87" s="29"/>
      <c r="K87" s="29"/>
      <c r="L87" s="29"/>
    </row>
    <row r="88" spans="1:20" s="36" customFormat="1" ht="39.950000000000003" customHeight="1" x14ac:dyDescent="0.55000000000000004">
      <c r="A88" s="33" t="s">
        <v>35</v>
      </c>
      <c r="B88" s="33"/>
      <c r="C88" s="31"/>
      <c r="D88" s="32"/>
      <c r="E88" s="29"/>
      <c r="F88" s="29"/>
      <c r="G88" s="29"/>
      <c r="H88" s="29"/>
      <c r="I88" s="29"/>
      <c r="J88" s="29"/>
      <c r="K88" s="29"/>
      <c r="L88" s="29"/>
    </row>
    <row r="89" spans="1:20" s="36" customFormat="1" ht="39.950000000000003" customHeight="1" x14ac:dyDescent="0.55000000000000004">
      <c r="A89" s="27" t="s">
        <v>36</v>
      </c>
      <c r="B89" s="27"/>
      <c r="C89" s="27"/>
      <c r="D89" s="29"/>
      <c r="E89" s="29"/>
      <c r="F89" s="29"/>
      <c r="G89" s="29"/>
      <c r="H89" s="29"/>
      <c r="I89" s="29"/>
      <c r="J89" s="29"/>
      <c r="K89" s="29"/>
      <c r="L89" s="29"/>
    </row>
    <row r="90" spans="1:20" s="36" customFormat="1" ht="30" customHeight="1" x14ac:dyDescent="0.55000000000000004">
      <c r="A90" s="25" t="s">
        <v>46</v>
      </c>
      <c r="B90" s="25"/>
      <c r="C90" s="25"/>
      <c r="D90" s="25" t="s">
        <v>30</v>
      </c>
      <c r="E90" s="25"/>
      <c r="F90" s="25"/>
      <c r="G90" s="25" t="s">
        <v>31</v>
      </c>
      <c r="H90" s="25"/>
      <c r="I90" s="25"/>
      <c r="J90" s="25"/>
      <c r="K90" s="25"/>
      <c r="L90" s="25"/>
    </row>
    <row r="91" spans="1:20" s="36" customFormat="1" ht="39.950000000000003" customHeight="1" x14ac:dyDescent="0.55000000000000004">
      <c r="A91" s="27" t="s">
        <v>34</v>
      </c>
      <c r="B91" s="27"/>
      <c r="C91" s="27"/>
      <c r="D91" s="27"/>
      <c r="E91" s="29"/>
      <c r="F91" s="29"/>
      <c r="G91" s="29"/>
      <c r="H91" s="29"/>
      <c r="I91" s="29"/>
      <c r="J91" s="29"/>
      <c r="K91" s="29"/>
      <c r="L91" s="29"/>
    </row>
    <row r="92" spans="1:20" s="36" customFormat="1" ht="39.950000000000003" customHeight="1" x14ac:dyDescent="0.55000000000000004">
      <c r="A92" s="33" t="s">
        <v>35</v>
      </c>
      <c r="B92" s="33"/>
      <c r="C92" s="31"/>
      <c r="D92" s="29"/>
      <c r="E92" s="29"/>
      <c r="F92" s="29"/>
      <c r="G92" s="29"/>
      <c r="H92" s="29"/>
      <c r="I92" s="29"/>
      <c r="J92" s="29"/>
      <c r="K92" s="29"/>
      <c r="L92" s="29"/>
    </row>
    <row r="93" spans="1:20" s="36" customFormat="1" ht="39.950000000000003" customHeight="1" x14ac:dyDescent="0.55000000000000004">
      <c r="A93" s="27" t="s">
        <v>36</v>
      </c>
      <c r="B93" s="27"/>
      <c r="C93" s="27"/>
      <c r="D93" s="29"/>
      <c r="E93" s="29"/>
      <c r="F93" s="29"/>
      <c r="G93" s="29"/>
      <c r="H93" s="29"/>
      <c r="I93" s="29"/>
      <c r="J93" s="29"/>
      <c r="K93" s="29"/>
      <c r="L93" s="29"/>
    </row>
    <row r="94" spans="1:20" s="36" customFormat="1" ht="30" customHeight="1" x14ac:dyDescent="0.55000000000000004">
      <c r="A94" s="25" t="s">
        <v>47</v>
      </c>
      <c r="B94" s="25"/>
      <c r="C94" s="25"/>
      <c r="D94" s="25" t="s">
        <v>30</v>
      </c>
      <c r="E94" s="25"/>
      <c r="F94" s="25"/>
      <c r="G94" s="25" t="s">
        <v>31</v>
      </c>
      <c r="H94" s="25"/>
      <c r="I94" s="25"/>
      <c r="J94" s="25"/>
      <c r="K94" s="25"/>
      <c r="L94" s="25"/>
    </row>
    <row r="95" spans="1:20" s="36" customFormat="1" ht="39.950000000000003" customHeight="1" x14ac:dyDescent="0.55000000000000004">
      <c r="A95" s="27" t="s">
        <v>34</v>
      </c>
      <c r="B95" s="27"/>
      <c r="C95" s="27"/>
      <c r="D95" s="27"/>
      <c r="E95" s="29"/>
      <c r="F95" s="29"/>
      <c r="G95" s="29"/>
      <c r="H95" s="29"/>
      <c r="I95" s="29"/>
      <c r="J95" s="29"/>
      <c r="K95" s="29"/>
      <c r="L95" s="29"/>
    </row>
    <row r="96" spans="1:20" s="36" customFormat="1" ht="39.950000000000003" customHeight="1" x14ac:dyDescent="0.55000000000000004">
      <c r="A96" s="33" t="s">
        <v>35</v>
      </c>
      <c r="B96" s="33"/>
      <c r="C96" s="31"/>
      <c r="D96" s="32"/>
      <c r="E96" s="29"/>
      <c r="F96" s="29"/>
      <c r="G96" s="29"/>
      <c r="H96" s="29"/>
      <c r="I96" s="29"/>
      <c r="J96" s="29"/>
      <c r="K96" s="29"/>
      <c r="L96" s="29"/>
    </row>
    <row r="97" spans="1:12" s="36" customFormat="1" ht="39.950000000000003" customHeight="1" x14ac:dyDescent="0.55000000000000004">
      <c r="A97" s="27" t="s">
        <v>36</v>
      </c>
      <c r="B97" s="27"/>
      <c r="C97" s="27"/>
      <c r="D97" s="29"/>
      <c r="E97" s="34"/>
      <c r="F97" s="34"/>
      <c r="G97" s="29"/>
      <c r="H97" s="29"/>
      <c r="I97" s="29"/>
      <c r="J97" s="29"/>
      <c r="K97" s="29"/>
      <c r="L97" s="29"/>
    </row>
    <row r="98" spans="1:12" ht="21.75" customHeight="1" x14ac:dyDescent="0.35">
      <c r="A98" s="3"/>
    </row>
    <row r="99" spans="1:12" ht="21.75" customHeight="1" x14ac:dyDescent="0.35">
      <c r="A99" s="3"/>
    </row>
  </sheetData>
  <mergeCells count="19">
    <mergeCell ref="A96:B96"/>
    <mergeCell ref="A72:B72"/>
    <mergeCell ref="A76:B76"/>
    <mergeCell ref="A80:B80"/>
    <mergeCell ref="A84:B84"/>
    <mergeCell ref="A88:B88"/>
    <mergeCell ref="A92:B92"/>
    <mergeCell ref="A49:L49"/>
    <mergeCell ref="A52:B52"/>
    <mergeCell ref="A56:B56"/>
    <mergeCell ref="A60:B60"/>
    <mergeCell ref="A64:B64"/>
    <mergeCell ref="A68:B68"/>
    <mergeCell ref="A2:K2"/>
    <mergeCell ref="A3:A4"/>
    <mergeCell ref="B3:E3"/>
    <mergeCell ref="F3:I3"/>
    <mergeCell ref="J3:K3"/>
    <mergeCell ref="A43:L47"/>
  </mergeCells>
  <pageMargins left="0.2" right="0.18" top="0.3" bottom="0.23" header="0.24" footer="0.23"/>
  <pageSetup paperSize="9" scale="68" orientation="portrait" horizontalDpi="4294967293" verticalDpi="1200" r:id="rId1"/>
  <headerFooter alignWithMargins="0"/>
  <rowBreaks count="2" manualBreakCount="2">
    <brk id="48" max="11" man="1"/>
    <brk id="73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8F6C-F71F-4E7F-8144-64A5E05AE4DD}">
  <dimension ref="A1:T98"/>
  <sheetViews>
    <sheetView zoomScale="80" zoomScaleNormal="80" workbookViewId="0">
      <selection activeCell="Q9" sqref="Q9"/>
    </sheetView>
  </sheetViews>
  <sheetFormatPr defaultColWidth="8" defaultRowHeight="21.75" customHeight="1" x14ac:dyDescent="0.35"/>
  <cols>
    <col min="1" max="1" width="10.75" style="19" customWidth="1"/>
    <col min="2" max="2" width="9.875" style="3" customWidth="1"/>
    <col min="3" max="3" width="11" style="3" customWidth="1"/>
    <col min="4" max="4" width="12.75" style="3" customWidth="1"/>
    <col min="5" max="5" width="12.125" style="3" customWidth="1"/>
    <col min="6" max="6" width="9.375" style="3" customWidth="1"/>
    <col min="7" max="7" width="10.25" style="3" customWidth="1"/>
    <col min="8" max="8" width="11" style="3" customWidth="1"/>
    <col min="9" max="9" width="12.5" style="3" customWidth="1"/>
    <col min="10" max="10" width="12.625" style="3" customWidth="1"/>
    <col min="11" max="11" width="15.75" style="3" customWidth="1"/>
    <col min="12" max="16" width="8" style="3"/>
    <col min="17" max="17" width="15.5" style="3" customWidth="1"/>
    <col min="18" max="16384" width="8" style="3"/>
  </cols>
  <sheetData>
    <row r="1" spans="1:12" ht="21.75" customHeight="1" x14ac:dyDescent="0.35">
      <c r="A1" s="1"/>
      <c r="B1" s="2"/>
      <c r="C1" s="2"/>
      <c r="D1" s="2"/>
      <c r="E1" s="2"/>
      <c r="F1" s="2"/>
      <c r="G1" s="2"/>
      <c r="H1" s="2"/>
      <c r="I1" s="2"/>
      <c r="K1" s="4" t="s">
        <v>48</v>
      </c>
      <c r="L1" s="2"/>
    </row>
    <row r="2" spans="1:12" ht="21" customHeight="1" x14ac:dyDescent="0.35">
      <c r="A2" s="5" t="s">
        <v>49</v>
      </c>
      <c r="B2" s="5"/>
      <c r="C2" s="5"/>
      <c r="D2" s="5"/>
      <c r="E2" s="5"/>
      <c r="F2" s="5"/>
      <c r="G2" s="5"/>
      <c r="H2" s="5"/>
      <c r="I2" s="5"/>
      <c r="J2" s="5"/>
      <c r="K2" s="5"/>
      <c r="L2" s="2"/>
    </row>
    <row r="3" spans="1:12" s="8" customFormat="1" ht="21.6" customHeight="1" x14ac:dyDescent="0.2">
      <c r="A3" s="6" t="s">
        <v>2</v>
      </c>
      <c r="B3" s="7" t="s">
        <v>50</v>
      </c>
      <c r="C3" s="7"/>
      <c r="D3" s="7"/>
      <c r="E3" s="7"/>
      <c r="F3" s="7" t="s">
        <v>3</v>
      </c>
      <c r="G3" s="7"/>
      <c r="H3" s="7"/>
      <c r="I3" s="7"/>
      <c r="J3" s="7" t="s">
        <v>5</v>
      </c>
      <c r="K3" s="7"/>
    </row>
    <row r="4" spans="1:12" s="8" customFormat="1" ht="54" customHeight="1" x14ac:dyDescent="0.2">
      <c r="A4" s="6"/>
      <c r="B4" s="9" t="s">
        <v>6</v>
      </c>
      <c r="C4" s="9" t="s">
        <v>51</v>
      </c>
      <c r="D4" s="9" t="s">
        <v>8</v>
      </c>
      <c r="E4" s="9" t="s">
        <v>52</v>
      </c>
      <c r="F4" s="9" t="s">
        <v>6</v>
      </c>
      <c r="G4" s="9" t="s">
        <v>53</v>
      </c>
      <c r="H4" s="9" t="s">
        <v>8</v>
      </c>
      <c r="I4" s="9" t="s">
        <v>54</v>
      </c>
      <c r="J4" s="9" t="s">
        <v>55</v>
      </c>
      <c r="K4" s="9" t="s">
        <v>56</v>
      </c>
    </row>
    <row r="5" spans="1:12" ht="24.95" customHeight="1" x14ac:dyDescent="0.55000000000000004">
      <c r="A5" s="10" t="s">
        <v>14</v>
      </c>
      <c r="B5" s="11">
        <v>94</v>
      </c>
      <c r="C5" s="11">
        <v>202.5</v>
      </c>
      <c r="D5" s="11">
        <v>8700</v>
      </c>
      <c r="E5" s="12">
        <v>2.1315789473684212</v>
      </c>
      <c r="F5" s="13">
        <v>95</v>
      </c>
      <c r="G5" s="13">
        <f>[1]แต่ละหน่วยงาน!C108</f>
        <v>194.39999999999998</v>
      </c>
      <c r="H5" s="13">
        <f>G5*42.96296296296</f>
        <v>8351.9999999994234</v>
      </c>
      <c r="I5" s="12">
        <f>G5/F5</f>
        <v>2.0463157894736841</v>
      </c>
      <c r="J5" s="37">
        <f t="shared" ref="J5:J18" si="0">(G5-C5)/C5</f>
        <v>-4.0000000000000112E-2</v>
      </c>
      <c r="K5" s="38">
        <f t="shared" ref="K5:K18" si="1">(I5-E5)/E5</f>
        <v>-4.000000000000014E-2</v>
      </c>
    </row>
    <row r="6" spans="1:12" ht="24.95" customHeight="1" x14ac:dyDescent="0.55000000000000004">
      <c r="A6" s="10" t="s">
        <v>15</v>
      </c>
      <c r="B6" s="11">
        <v>94</v>
      </c>
      <c r="C6" s="11">
        <v>226.8</v>
      </c>
      <c r="D6" s="11">
        <v>9744</v>
      </c>
      <c r="E6" s="12">
        <v>2.3873684210526318</v>
      </c>
      <c r="F6" s="13">
        <v>95</v>
      </c>
      <c r="G6" s="13">
        <f>[1]แต่ละหน่วยงาน!D108</f>
        <v>175.5</v>
      </c>
      <c r="H6" s="13">
        <f t="shared" ref="H6:H10" si="2">G6*42.96296296296</f>
        <v>7539.9999999994798</v>
      </c>
      <c r="I6" s="12">
        <f t="shared" ref="I6:I17" si="3">G6/F6</f>
        <v>1.8473684210526315</v>
      </c>
      <c r="J6" s="37">
        <f t="shared" si="0"/>
        <v>-0.22619047619047622</v>
      </c>
      <c r="K6" s="38">
        <f t="shared" si="1"/>
        <v>-0.22619047619047628</v>
      </c>
    </row>
    <row r="7" spans="1:12" ht="24.95" customHeight="1" x14ac:dyDescent="0.55000000000000004">
      <c r="A7" s="10" t="s">
        <v>17</v>
      </c>
      <c r="B7" s="11">
        <v>94</v>
      </c>
      <c r="C7" s="11">
        <v>224.1</v>
      </c>
      <c r="D7" s="11">
        <v>9628</v>
      </c>
      <c r="E7" s="12">
        <v>2.3589473684210525</v>
      </c>
      <c r="F7" s="13">
        <v>95</v>
      </c>
      <c r="G7" s="13">
        <f>[1]แต่ละหน่วยงาน!E108</f>
        <v>245.70000000000002</v>
      </c>
      <c r="H7" s="13">
        <f t="shared" si="2"/>
        <v>10555.999999999272</v>
      </c>
      <c r="I7" s="12">
        <f t="shared" si="3"/>
        <v>2.5863157894736846</v>
      </c>
      <c r="J7" s="37">
        <f t="shared" si="0"/>
        <v>9.6385542168674801E-2</v>
      </c>
      <c r="K7" s="38">
        <f t="shared" si="1"/>
        <v>9.6385542168674926E-2</v>
      </c>
    </row>
    <row r="8" spans="1:12" ht="24.95" customHeight="1" x14ac:dyDescent="0.55000000000000004">
      <c r="A8" s="10" t="s">
        <v>18</v>
      </c>
      <c r="B8" s="11">
        <v>94</v>
      </c>
      <c r="C8" s="11">
        <v>91.8</v>
      </c>
      <c r="D8" s="11">
        <v>3944</v>
      </c>
      <c r="E8" s="12">
        <v>0.96631578947368413</v>
      </c>
      <c r="F8" s="13">
        <v>95</v>
      </c>
      <c r="G8" s="13">
        <f>[1]แต่ละหน่วยงาน!F108</f>
        <v>189</v>
      </c>
      <c r="H8" s="13">
        <f t="shared" si="2"/>
        <v>8119.9999999994398</v>
      </c>
      <c r="I8" s="12">
        <f t="shared" si="3"/>
        <v>1.9894736842105263</v>
      </c>
      <c r="J8" s="37">
        <f t="shared" si="0"/>
        <v>1.0588235294117647</v>
      </c>
      <c r="K8" s="38">
        <f t="shared" si="1"/>
        <v>1.0588235294117649</v>
      </c>
    </row>
    <row r="9" spans="1:12" ht="24.95" customHeight="1" x14ac:dyDescent="0.55000000000000004">
      <c r="A9" s="10" t="s">
        <v>19</v>
      </c>
      <c r="B9" s="11">
        <v>94</v>
      </c>
      <c r="C9" s="11">
        <v>151.19999999999999</v>
      </c>
      <c r="D9" s="11">
        <v>6496</v>
      </c>
      <c r="E9" s="12">
        <v>1.591578947368421</v>
      </c>
      <c r="F9" s="13">
        <v>95</v>
      </c>
      <c r="G9" s="13">
        <f>[1]แต่ละหน่วยงาน!G108</f>
        <v>126.90000000000002</v>
      </c>
      <c r="H9" s="13">
        <f t="shared" si="2"/>
        <v>5451.9999999996244</v>
      </c>
      <c r="I9" s="12">
        <f t="shared" si="3"/>
        <v>1.3357894736842106</v>
      </c>
      <c r="J9" s="37">
        <f t="shared" si="0"/>
        <v>-0.16071428571428553</v>
      </c>
      <c r="K9" s="38">
        <f t="shared" si="1"/>
        <v>-0.16071428571428562</v>
      </c>
    </row>
    <row r="10" spans="1:12" ht="24.95" customHeight="1" x14ac:dyDescent="0.55000000000000004">
      <c r="A10" s="10" t="s">
        <v>20</v>
      </c>
      <c r="B10" s="11">
        <v>94</v>
      </c>
      <c r="C10" s="11">
        <v>172.8</v>
      </c>
      <c r="D10" s="11">
        <v>7424</v>
      </c>
      <c r="E10" s="12">
        <v>1.8189473684210526</v>
      </c>
      <c r="F10" s="13">
        <v>95</v>
      </c>
      <c r="G10" s="13">
        <f>[1]แต่ละหน่วยงาน!H108</f>
        <v>183.6</v>
      </c>
      <c r="H10" s="13">
        <f t="shared" si="2"/>
        <v>7887.9999999994552</v>
      </c>
      <c r="I10" s="12">
        <f t="shared" si="3"/>
        <v>1.9326315789473683</v>
      </c>
      <c r="J10" s="37">
        <f t="shared" si="0"/>
        <v>6.2499999999999896E-2</v>
      </c>
      <c r="K10" s="38">
        <f t="shared" si="1"/>
        <v>6.2499999999999903E-2</v>
      </c>
    </row>
    <row r="11" spans="1:12" ht="24.95" customHeight="1" x14ac:dyDescent="0.55000000000000004">
      <c r="A11" s="10" t="s">
        <v>21</v>
      </c>
      <c r="B11" s="11">
        <v>94</v>
      </c>
      <c r="C11" s="11">
        <v>132.30000000000001</v>
      </c>
      <c r="D11" s="11">
        <v>5683.999999999608</v>
      </c>
      <c r="E11" s="12">
        <v>1.3926315789473684</v>
      </c>
      <c r="F11" s="13">
        <v>95</v>
      </c>
      <c r="G11" s="13">
        <f>[1]แต่ละหน่วยงาน!I108</f>
        <v>159.30000000000001</v>
      </c>
      <c r="H11" s="13">
        <f>G11*42.96296296296</f>
        <v>6843.999999999528</v>
      </c>
      <c r="I11" s="12">
        <f t="shared" si="3"/>
        <v>1.6768421052631579</v>
      </c>
      <c r="J11" s="37">
        <f t="shared" si="0"/>
        <v>0.2040816326530612</v>
      </c>
      <c r="K11" s="38">
        <f t="shared" si="1"/>
        <v>0.20408163265306123</v>
      </c>
    </row>
    <row r="12" spans="1:12" ht="24.95" customHeight="1" x14ac:dyDescent="0.55000000000000004">
      <c r="A12" s="10" t="s">
        <v>22</v>
      </c>
      <c r="B12" s="11">
        <v>94</v>
      </c>
      <c r="C12" s="11">
        <v>167.4</v>
      </c>
      <c r="D12" s="11">
        <v>7191.9999999995043</v>
      </c>
      <c r="E12" s="12">
        <v>1.7621052631578948</v>
      </c>
      <c r="F12" s="13">
        <v>95</v>
      </c>
      <c r="G12" s="13">
        <f>[1]แต่ละหน่วยงาน!J108</f>
        <v>206.55</v>
      </c>
      <c r="H12" s="13">
        <f t="shared" ref="H12:H16" si="4">G12*42.96296296296</f>
        <v>8873.9999999993888</v>
      </c>
      <c r="I12" s="12">
        <f t="shared" si="3"/>
        <v>2.1742105263157896</v>
      </c>
      <c r="J12" s="37">
        <f t="shared" si="0"/>
        <v>0.2338709677419355</v>
      </c>
      <c r="K12" s="38">
        <f t="shared" si="1"/>
        <v>0.23387096774193547</v>
      </c>
    </row>
    <row r="13" spans="1:12" ht="24.95" customHeight="1" x14ac:dyDescent="0.55000000000000004">
      <c r="A13" s="10" t="s">
        <v>23</v>
      </c>
      <c r="B13" s="11">
        <v>94</v>
      </c>
      <c r="C13" s="11">
        <v>153.9</v>
      </c>
      <c r="D13" s="11">
        <v>6611.9999999995443</v>
      </c>
      <c r="E13" s="12">
        <v>1.62</v>
      </c>
      <c r="F13" s="13">
        <v>95</v>
      </c>
      <c r="G13" s="13">
        <f>[1]แต่ละหน่วยงาน!K108</f>
        <v>198.45000000000002</v>
      </c>
      <c r="H13" s="13">
        <f t="shared" si="4"/>
        <v>8525.9999999994125</v>
      </c>
      <c r="I13" s="12">
        <f t="shared" si="3"/>
        <v>2.0889473684210529</v>
      </c>
      <c r="J13" s="37">
        <f t="shared" si="0"/>
        <v>0.28947368421052638</v>
      </c>
      <c r="K13" s="38">
        <f t="shared" si="1"/>
        <v>0.28947368421052638</v>
      </c>
    </row>
    <row r="14" spans="1:12" ht="24.95" customHeight="1" x14ac:dyDescent="0.55000000000000004">
      <c r="A14" s="10" t="s">
        <v>24</v>
      </c>
      <c r="B14" s="11">
        <v>94</v>
      </c>
      <c r="C14" s="11">
        <v>164.70000000000002</v>
      </c>
      <c r="D14" s="11">
        <v>7075.9999999995125</v>
      </c>
      <c r="E14" s="12">
        <v>1.7336842105263159</v>
      </c>
      <c r="F14" s="13">
        <v>95</v>
      </c>
      <c r="G14" s="13">
        <f>[1]แต่ละหน่วยงาน!L108</f>
        <v>140.4</v>
      </c>
      <c r="H14" s="13">
        <f t="shared" si="4"/>
        <v>6031.9999999995844</v>
      </c>
      <c r="I14" s="12">
        <f t="shared" si="3"/>
        <v>1.4778947368421054</v>
      </c>
      <c r="J14" s="37">
        <f t="shared" si="0"/>
        <v>-0.14754098360655743</v>
      </c>
      <c r="K14" s="38">
        <f t="shared" si="1"/>
        <v>-0.14754098360655737</v>
      </c>
    </row>
    <row r="15" spans="1:12" ht="24.95" customHeight="1" x14ac:dyDescent="0.55000000000000004">
      <c r="A15" s="10" t="s">
        <v>25</v>
      </c>
      <c r="B15" s="11">
        <v>94</v>
      </c>
      <c r="C15" s="11">
        <v>183.60000000000002</v>
      </c>
      <c r="D15" s="11">
        <v>7887.999999999457</v>
      </c>
      <c r="E15" s="12">
        <v>1.9326315789473687</v>
      </c>
      <c r="F15" s="13">
        <v>95</v>
      </c>
      <c r="G15" s="13">
        <f>[1]แต่ละหน่วยงาน!M108</f>
        <v>213.3</v>
      </c>
      <c r="H15" s="13">
        <f t="shared" si="4"/>
        <v>9163.9999999993688</v>
      </c>
      <c r="I15" s="12">
        <f t="shared" si="3"/>
        <v>2.2452631578947368</v>
      </c>
      <c r="J15" s="37">
        <f t="shared" si="0"/>
        <v>0.16176470588235287</v>
      </c>
      <c r="K15" s="38">
        <f t="shared" si="1"/>
        <v>0.16176470588235278</v>
      </c>
    </row>
    <row r="16" spans="1:12" ht="24.95" customHeight="1" x14ac:dyDescent="0.55000000000000004">
      <c r="A16" s="10" t="s">
        <v>26</v>
      </c>
      <c r="B16" s="11">
        <v>94</v>
      </c>
      <c r="C16" s="11">
        <v>210.60000000000002</v>
      </c>
      <c r="D16" s="11">
        <v>9047.9999999993761</v>
      </c>
      <c r="E16" s="12">
        <v>2.2168421052631579</v>
      </c>
      <c r="F16" s="13">
        <v>95</v>
      </c>
      <c r="G16" s="13">
        <f>[1]แต่ละหน่วยงาน!N108</f>
        <v>164.70000000000002</v>
      </c>
      <c r="H16" s="13">
        <f t="shared" si="4"/>
        <v>7075.9999999995125</v>
      </c>
      <c r="I16" s="12">
        <f t="shared" si="3"/>
        <v>1.7336842105263159</v>
      </c>
      <c r="J16" s="37">
        <f t="shared" si="0"/>
        <v>-0.21794871794871795</v>
      </c>
      <c r="K16" s="38">
        <f t="shared" si="1"/>
        <v>-0.2179487179487179</v>
      </c>
    </row>
    <row r="17" spans="1:11" ht="24.95" customHeight="1" x14ac:dyDescent="0.55000000000000004">
      <c r="A17" s="10" t="s">
        <v>27</v>
      </c>
      <c r="B17" s="12">
        <v>95</v>
      </c>
      <c r="C17" s="12">
        <v>173.47499999999999</v>
      </c>
      <c r="D17" s="12">
        <v>7452.9999999997499</v>
      </c>
      <c r="E17" s="12">
        <v>1.8260526315789474</v>
      </c>
      <c r="F17" s="12">
        <f t="shared" ref="F17:H17" si="5">AVERAGE(F5:F16)</f>
        <v>95</v>
      </c>
      <c r="G17" s="12">
        <f>AVERAGE(G5:G16)</f>
        <v>183.14999999999998</v>
      </c>
      <c r="H17" s="12">
        <f t="shared" si="5"/>
        <v>7868.6666666661231</v>
      </c>
      <c r="I17" s="12">
        <f t="shared" si="3"/>
        <v>1.9278947368421051</v>
      </c>
      <c r="J17" s="37">
        <f t="shared" si="0"/>
        <v>5.5771725032425327E-2</v>
      </c>
      <c r="K17" s="38">
        <f t="shared" si="1"/>
        <v>5.5771725032425334E-2</v>
      </c>
    </row>
    <row r="18" spans="1:11" ht="24.95" customHeight="1" x14ac:dyDescent="0.55000000000000004">
      <c r="A18" s="10" t="s">
        <v>28</v>
      </c>
      <c r="B18" s="12">
        <v>1140</v>
      </c>
      <c r="C18" s="12">
        <v>2081.6999999999998</v>
      </c>
      <c r="D18" s="12">
        <v>89435.999999997002</v>
      </c>
      <c r="E18" s="12">
        <v>21.912631578947369</v>
      </c>
      <c r="F18" s="12">
        <f t="shared" ref="F18:I18" si="6">SUM(F5:F16)</f>
        <v>1140</v>
      </c>
      <c r="G18" s="39">
        <f t="shared" si="6"/>
        <v>2197.7999999999997</v>
      </c>
      <c r="H18" s="12">
        <f t="shared" si="6"/>
        <v>94423.999999993481</v>
      </c>
      <c r="I18" s="12">
        <f t="shared" si="6"/>
        <v>23.134736842105266</v>
      </c>
      <c r="J18" s="37">
        <f t="shared" si="0"/>
        <v>5.5771725032425383E-2</v>
      </c>
      <c r="K18" s="38">
        <f t="shared" si="1"/>
        <v>5.5771725032425494E-2</v>
      </c>
    </row>
    <row r="19" spans="1:11" ht="21.75" customHeight="1" x14ac:dyDescent="0.55000000000000004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8"/>
    </row>
    <row r="20" spans="1:11" ht="21.75" customHeight="1" x14ac:dyDescent="0.55000000000000004">
      <c r="A20" s="1"/>
      <c r="B20" s="17"/>
      <c r="C20" s="17"/>
      <c r="D20" s="17"/>
      <c r="E20" s="17"/>
      <c r="F20" s="17"/>
      <c r="G20" s="17"/>
      <c r="H20" s="17"/>
      <c r="I20" s="17"/>
      <c r="J20" s="17"/>
      <c r="K20" s="18"/>
    </row>
    <row r="21" spans="1:11" ht="21.75" customHeight="1" x14ac:dyDescent="0.55000000000000004">
      <c r="A21" s="16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40" spans="1:17" ht="21.95" customHeight="1" x14ac:dyDescent="0.35"/>
    <row r="43" spans="1:17" ht="21.75" customHeight="1" x14ac:dyDescent="0.35">
      <c r="A43" s="40" t="s">
        <v>57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7" ht="21.75" customHeight="1" x14ac:dyDescent="0.6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N44" s="41"/>
      <c r="O44" s="41"/>
      <c r="P44" s="41"/>
      <c r="Q44" s="41"/>
    </row>
    <row r="45" spans="1:17" ht="21.75" customHeight="1" x14ac:dyDescent="0.6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P45" s="41"/>
      <c r="Q45" s="41"/>
    </row>
    <row r="46" spans="1:17" ht="21.75" customHeight="1" x14ac:dyDescent="0.6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P46" s="41"/>
    </row>
    <row r="47" spans="1:17" ht="78.75" customHeight="1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spans="1:17" ht="42" customHeight="1" x14ac:dyDescent="0.35">
      <c r="A48" s="42" t="s">
        <v>58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</row>
    <row r="49" spans="1:12" s="26" customFormat="1" ht="30" customHeight="1" x14ac:dyDescent="0.2">
      <c r="A49" s="43" t="s">
        <v>59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</row>
    <row r="50" spans="1:12" s="26" customFormat="1" ht="50.1" customHeight="1" x14ac:dyDescent="0.2">
      <c r="A50" s="44" t="s">
        <v>60</v>
      </c>
      <c r="B50" s="44"/>
      <c r="C50" s="45"/>
    </row>
    <row r="51" spans="1:12" s="26" customFormat="1" ht="50.1" customHeight="1" x14ac:dyDescent="0.2">
      <c r="A51" s="46" t="s">
        <v>61</v>
      </c>
      <c r="B51" s="46"/>
      <c r="C51" s="44" t="s">
        <v>62</v>
      </c>
      <c r="D51" s="47"/>
    </row>
    <row r="52" spans="1:12" s="26" customFormat="1" ht="50.1" customHeight="1" x14ac:dyDescent="0.2">
      <c r="A52" s="44" t="s">
        <v>36</v>
      </c>
      <c r="B52" s="44"/>
      <c r="C52" s="44"/>
    </row>
    <row r="53" spans="1:12" s="26" customFormat="1" ht="30" customHeight="1" x14ac:dyDescent="0.2">
      <c r="A53" s="43" t="s">
        <v>63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</row>
    <row r="54" spans="1:12" s="26" customFormat="1" ht="50.1" customHeight="1" x14ac:dyDescent="0.2">
      <c r="A54" s="44" t="s">
        <v>64</v>
      </c>
      <c r="B54" s="44"/>
      <c r="C54" s="44"/>
      <c r="D54" s="44"/>
    </row>
    <row r="55" spans="1:12" s="26" customFormat="1" ht="50.1" customHeight="1" x14ac:dyDescent="0.2">
      <c r="A55" s="46" t="s">
        <v>35</v>
      </c>
      <c r="B55" s="46"/>
      <c r="C55" s="44" t="s">
        <v>62</v>
      </c>
      <c r="D55" s="47"/>
    </row>
    <row r="56" spans="1:12" s="26" customFormat="1" ht="50.1" customHeight="1" x14ac:dyDescent="0.2">
      <c r="A56" s="44" t="s">
        <v>36</v>
      </c>
      <c r="B56" s="44"/>
      <c r="C56" s="44"/>
    </row>
    <row r="57" spans="1:12" s="26" customFormat="1" ht="30" customHeight="1" x14ac:dyDescent="0.2">
      <c r="A57" s="43" t="s">
        <v>65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</row>
    <row r="58" spans="1:12" s="26" customFormat="1" ht="50.1" customHeight="1" x14ac:dyDescent="0.2">
      <c r="A58" s="44" t="s">
        <v>66</v>
      </c>
      <c r="B58" s="44"/>
      <c r="C58" s="44"/>
      <c r="D58" s="44"/>
    </row>
    <row r="59" spans="1:12" s="26" customFormat="1" ht="50.1" customHeight="1" x14ac:dyDescent="0.2">
      <c r="A59" s="48" t="s">
        <v>35</v>
      </c>
      <c r="B59" s="48"/>
      <c r="C59" s="44" t="s">
        <v>67</v>
      </c>
      <c r="D59" s="47"/>
    </row>
    <row r="60" spans="1:12" s="26" customFormat="1" ht="50.1" customHeight="1" x14ac:dyDescent="0.2">
      <c r="A60" s="44" t="s">
        <v>36</v>
      </c>
      <c r="B60" s="44"/>
      <c r="C60" s="44" t="s">
        <v>68</v>
      </c>
    </row>
    <row r="61" spans="1:12" s="26" customFormat="1" ht="30" customHeight="1" x14ac:dyDescent="0.2">
      <c r="A61" s="43" t="s">
        <v>69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</row>
    <row r="62" spans="1:12" s="26" customFormat="1" ht="50.1" customHeight="1" x14ac:dyDescent="0.2">
      <c r="A62" s="44" t="s">
        <v>70</v>
      </c>
      <c r="B62" s="44"/>
      <c r="C62" s="44"/>
      <c r="D62" s="44"/>
    </row>
    <row r="63" spans="1:12" s="26" customFormat="1" ht="50.1" customHeight="1" x14ac:dyDescent="0.2">
      <c r="A63" s="48" t="s">
        <v>35</v>
      </c>
      <c r="B63" s="48"/>
      <c r="C63" s="44" t="s">
        <v>67</v>
      </c>
      <c r="D63" s="47"/>
    </row>
    <row r="64" spans="1:12" s="26" customFormat="1" ht="50.1" customHeight="1" x14ac:dyDescent="0.2">
      <c r="A64" s="44" t="s">
        <v>36</v>
      </c>
      <c r="B64" s="44"/>
      <c r="C64" s="44" t="s">
        <v>68</v>
      </c>
    </row>
    <row r="65" spans="1:13" s="26" customFormat="1" ht="30" customHeight="1" x14ac:dyDescent="0.2">
      <c r="A65" s="43" t="s">
        <v>71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</row>
    <row r="66" spans="1:13" s="26" customFormat="1" ht="50.1" customHeight="1" x14ac:dyDescent="0.2">
      <c r="A66" s="44" t="s">
        <v>72</v>
      </c>
      <c r="B66" s="44"/>
      <c r="C66" s="44"/>
      <c r="D66" s="44"/>
    </row>
    <row r="67" spans="1:13" s="26" customFormat="1" ht="50.1" customHeight="1" x14ac:dyDescent="0.2">
      <c r="A67" s="48" t="s">
        <v>35</v>
      </c>
      <c r="B67" s="48"/>
      <c r="C67" s="44" t="s">
        <v>62</v>
      </c>
    </row>
    <row r="68" spans="1:13" s="26" customFormat="1" ht="50.1" customHeight="1" x14ac:dyDescent="0.2">
      <c r="A68" s="44" t="s">
        <v>36</v>
      </c>
      <c r="B68" s="44"/>
      <c r="C68" s="44"/>
    </row>
    <row r="69" spans="1:13" s="26" customFormat="1" ht="30" customHeight="1" x14ac:dyDescent="0.2">
      <c r="A69" s="43" t="s">
        <v>73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</row>
    <row r="70" spans="1:13" s="26" customFormat="1" ht="50.1" customHeight="1" x14ac:dyDescent="0.2">
      <c r="A70" s="44" t="s">
        <v>74</v>
      </c>
      <c r="B70" s="44"/>
      <c r="C70" s="44"/>
      <c r="D70" s="44"/>
    </row>
    <row r="71" spans="1:13" s="26" customFormat="1" ht="50.1" customHeight="1" x14ac:dyDescent="0.2">
      <c r="A71" s="48" t="s">
        <v>35</v>
      </c>
      <c r="B71" s="48"/>
      <c r="C71" s="44" t="s">
        <v>67</v>
      </c>
      <c r="D71" s="47"/>
    </row>
    <row r="72" spans="1:13" s="26" customFormat="1" ht="50.1" customHeight="1" x14ac:dyDescent="0.2">
      <c r="A72" s="44" t="s">
        <v>36</v>
      </c>
      <c r="B72" s="44"/>
      <c r="C72" s="44" t="s">
        <v>68</v>
      </c>
      <c r="E72" s="49"/>
      <c r="F72" s="49"/>
    </row>
    <row r="73" spans="1:13" s="26" customFormat="1" ht="30" customHeight="1" x14ac:dyDescent="0.2">
      <c r="A73" s="43" t="s">
        <v>75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</row>
    <row r="74" spans="1:13" s="26" customFormat="1" ht="39.950000000000003" customHeight="1" x14ac:dyDescent="0.2">
      <c r="A74" s="44" t="s">
        <v>76</v>
      </c>
      <c r="B74" s="44"/>
      <c r="C74" s="45"/>
    </row>
    <row r="75" spans="1:13" s="26" customFormat="1" ht="39.950000000000003" customHeight="1" x14ac:dyDescent="0.2">
      <c r="A75" s="46" t="s">
        <v>35</v>
      </c>
      <c r="B75" s="46"/>
      <c r="C75" s="48" t="s">
        <v>67</v>
      </c>
      <c r="D75" s="48"/>
      <c r="E75" s="48"/>
      <c r="F75" s="48"/>
      <c r="G75" s="48"/>
      <c r="H75" s="48"/>
      <c r="I75" s="48"/>
      <c r="J75" s="48"/>
      <c r="K75" s="48"/>
    </row>
    <row r="76" spans="1:13" s="26" customFormat="1" ht="39.950000000000003" customHeight="1" x14ac:dyDescent="0.2">
      <c r="A76" s="44" t="s">
        <v>36</v>
      </c>
      <c r="B76" s="44"/>
      <c r="C76" s="44" t="s">
        <v>68</v>
      </c>
    </row>
    <row r="77" spans="1:13" s="26" customFormat="1" ht="30" customHeight="1" x14ac:dyDescent="0.2">
      <c r="A77" s="43" t="s">
        <v>77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</row>
    <row r="78" spans="1:13" s="26" customFormat="1" ht="39.950000000000003" customHeight="1" x14ac:dyDescent="0.2">
      <c r="A78" s="44" t="s">
        <v>78</v>
      </c>
      <c r="B78" s="44"/>
      <c r="C78" s="44"/>
      <c r="D78" s="44"/>
    </row>
    <row r="79" spans="1:13" s="26" customFormat="1" ht="39.950000000000003" customHeight="1" x14ac:dyDescent="0.2">
      <c r="A79" s="46" t="s">
        <v>35</v>
      </c>
      <c r="B79" s="46"/>
      <c r="C79" s="48" t="s">
        <v>67</v>
      </c>
      <c r="D79" s="48"/>
      <c r="E79" s="48"/>
      <c r="F79" s="48"/>
      <c r="G79" s="48"/>
      <c r="H79" s="48"/>
      <c r="I79" s="48"/>
      <c r="J79" s="48"/>
      <c r="K79" s="48"/>
      <c r="L79" s="48"/>
      <c r="M79" s="48"/>
    </row>
    <row r="80" spans="1:13" s="26" customFormat="1" ht="39.950000000000003" customHeight="1" x14ac:dyDescent="0.2">
      <c r="A80" s="44" t="s">
        <v>36</v>
      </c>
      <c r="B80" s="44"/>
      <c r="C80" s="44" t="s">
        <v>68</v>
      </c>
    </row>
    <row r="81" spans="1:20" s="26" customFormat="1" ht="30" customHeight="1" x14ac:dyDescent="0.2">
      <c r="A81" s="43" t="s">
        <v>79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</row>
    <row r="82" spans="1:20" s="26" customFormat="1" ht="39.950000000000003" customHeight="1" x14ac:dyDescent="0.2">
      <c r="A82" s="44" t="s">
        <v>80</v>
      </c>
      <c r="B82" s="44"/>
      <c r="C82" s="44"/>
      <c r="D82" s="44"/>
      <c r="M82" s="35"/>
      <c r="N82" s="35"/>
      <c r="O82" s="35"/>
      <c r="P82" s="35"/>
      <c r="Q82" s="35"/>
      <c r="R82" s="35"/>
      <c r="S82" s="35"/>
      <c r="T82" s="35"/>
    </row>
    <row r="83" spans="1:20" s="26" customFormat="1" ht="39.950000000000003" customHeight="1" x14ac:dyDescent="0.2">
      <c r="A83" s="48" t="s">
        <v>35</v>
      </c>
      <c r="B83" s="48"/>
      <c r="C83" s="48" t="s">
        <v>62</v>
      </c>
      <c r="D83" s="48"/>
      <c r="E83" s="48"/>
      <c r="F83" s="48"/>
      <c r="G83" s="48"/>
      <c r="H83" s="48"/>
      <c r="I83" s="48"/>
      <c r="J83" s="48"/>
      <c r="K83" s="48"/>
      <c r="M83" s="35"/>
      <c r="N83" s="35"/>
      <c r="O83" s="35"/>
      <c r="P83" s="35"/>
      <c r="Q83" s="35"/>
      <c r="R83" s="35"/>
      <c r="S83" s="35"/>
      <c r="T83" s="35"/>
    </row>
    <row r="84" spans="1:20" s="26" customFormat="1" ht="39.950000000000003" customHeight="1" x14ac:dyDescent="0.2">
      <c r="A84" s="44" t="s">
        <v>36</v>
      </c>
      <c r="B84" s="44"/>
      <c r="C84" s="44"/>
      <c r="M84" s="35"/>
      <c r="N84" s="35"/>
      <c r="O84" s="35"/>
      <c r="P84" s="35"/>
      <c r="Q84" s="35"/>
      <c r="R84" s="35"/>
      <c r="S84" s="35"/>
      <c r="T84" s="35"/>
    </row>
    <row r="85" spans="1:20" s="26" customFormat="1" ht="30" customHeight="1" x14ac:dyDescent="0.2">
      <c r="A85" s="43" t="s">
        <v>81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</row>
    <row r="86" spans="1:20" s="36" customFormat="1" ht="39.950000000000003" customHeight="1" x14ac:dyDescent="0.55000000000000004">
      <c r="A86" s="44" t="s">
        <v>82</v>
      </c>
      <c r="B86" s="44"/>
      <c r="C86" s="44"/>
      <c r="D86" s="44"/>
      <c r="E86" s="26"/>
      <c r="F86" s="26"/>
      <c r="G86" s="26"/>
      <c r="H86" s="26"/>
      <c r="I86" s="26"/>
      <c r="J86" s="26"/>
      <c r="K86" s="26"/>
      <c r="L86" s="26"/>
    </row>
    <row r="87" spans="1:20" s="36" customFormat="1" ht="39.950000000000003" customHeight="1" x14ac:dyDescent="0.55000000000000004">
      <c r="A87" s="48" t="s">
        <v>35</v>
      </c>
      <c r="B87" s="48"/>
      <c r="C87" s="46" t="s">
        <v>62</v>
      </c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</row>
    <row r="88" spans="1:20" s="36" customFormat="1" ht="39.950000000000003" customHeight="1" x14ac:dyDescent="0.55000000000000004">
      <c r="A88" s="44" t="s">
        <v>36</v>
      </c>
      <c r="B88" s="44"/>
      <c r="C88" s="44"/>
      <c r="D88" s="26"/>
      <c r="E88" s="26"/>
      <c r="F88" s="26"/>
      <c r="G88" s="26"/>
      <c r="H88" s="26"/>
      <c r="I88" s="26"/>
      <c r="J88" s="26"/>
      <c r="K88" s="26"/>
      <c r="L88" s="26"/>
    </row>
    <row r="89" spans="1:20" s="36" customFormat="1" ht="30" customHeight="1" x14ac:dyDescent="0.55000000000000004">
      <c r="A89" s="43" t="s">
        <v>83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</row>
    <row r="90" spans="1:20" s="36" customFormat="1" ht="39.950000000000003" customHeight="1" x14ac:dyDescent="0.55000000000000004">
      <c r="A90" s="44" t="s">
        <v>84</v>
      </c>
      <c r="B90" s="44"/>
      <c r="C90" s="44"/>
      <c r="D90" s="44"/>
      <c r="E90" s="26"/>
      <c r="F90" s="26"/>
      <c r="G90" s="26"/>
      <c r="H90" s="26"/>
      <c r="I90" s="26"/>
      <c r="J90" s="26"/>
      <c r="K90" s="26"/>
      <c r="L90" s="26"/>
    </row>
    <row r="91" spans="1:20" s="36" customFormat="1" ht="39.950000000000003" customHeight="1" x14ac:dyDescent="0.55000000000000004">
      <c r="A91" s="48" t="s">
        <v>35</v>
      </c>
      <c r="B91" s="48"/>
      <c r="C91" s="48" t="s">
        <v>62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</row>
    <row r="92" spans="1:20" s="36" customFormat="1" ht="39.950000000000003" customHeight="1" x14ac:dyDescent="0.55000000000000004">
      <c r="A92" s="44" t="s">
        <v>36</v>
      </c>
      <c r="B92" s="44"/>
      <c r="C92" s="44"/>
      <c r="D92" s="26"/>
      <c r="E92" s="26"/>
      <c r="F92" s="26"/>
      <c r="G92" s="26"/>
      <c r="H92" s="26"/>
      <c r="I92" s="26"/>
      <c r="J92" s="26"/>
      <c r="K92" s="26"/>
      <c r="L92" s="26"/>
    </row>
    <row r="93" spans="1:20" s="36" customFormat="1" ht="30" customHeight="1" x14ac:dyDescent="0.55000000000000004">
      <c r="A93" s="43" t="s">
        <v>85</v>
      </c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</row>
    <row r="94" spans="1:20" s="36" customFormat="1" ht="39.950000000000003" customHeight="1" x14ac:dyDescent="0.55000000000000004">
      <c r="A94" s="44" t="s">
        <v>86</v>
      </c>
      <c r="B94" s="44"/>
      <c r="C94" s="44"/>
      <c r="D94" s="44"/>
      <c r="E94" s="26"/>
      <c r="F94" s="26"/>
      <c r="G94" s="26"/>
      <c r="H94" s="26"/>
      <c r="I94" s="26"/>
      <c r="J94" s="26"/>
      <c r="K94" s="26"/>
      <c r="L94" s="26"/>
    </row>
    <row r="95" spans="1:20" s="36" customFormat="1" ht="39.950000000000003" customHeight="1" x14ac:dyDescent="0.55000000000000004">
      <c r="A95" s="48" t="s">
        <v>35</v>
      </c>
      <c r="B95" s="48"/>
      <c r="C95" s="48" t="s">
        <v>62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</row>
    <row r="96" spans="1:20" s="36" customFormat="1" ht="39.950000000000003" customHeight="1" x14ac:dyDescent="0.55000000000000004">
      <c r="A96" s="44" t="s">
        <v>36</v>
      </c>
      <c r="B96" s="44"/>
      <c r="C96" s="44"/>
      <c r="D96" s="26"/>
      <c r="E96" s="49"/>
      <c r="F96" s="49"/>
      <c r="G96" s="26"/>
      <c r="H96" s="26"/>
      <c r="I96" s="26"/>
      <c r="J96" s="26"/>
      <c r="K96" s="26"/>
      <c r="L96" s="26"/>
    </row>
    <row r="97" spans="1:1" ht="21.75" customHeight="1" x14ac:dyDescent="0.35">
      <c r="A97" s="3"/>
    </row>
    <row r="98" spans="1:1" ht="21.75" customHeight="1" x14ac:dyDescent="0.35">
      <c r="A98" s="3"/>
    </row>
  </sheetData>
  <mergeCells count="37">
    <mergeCell ref="A89:L89"/>
    <mergeCell ref="A91:B91"/>
    <mergeCell ref="C91:N91"/>
    <mergeCell ref="A93:L93"/>
    <mergeCell ref="A95:B95"/>
    <mergeCell ref="C95:N95"/>
    <mergeCell ref="A81:L81"/>
    <mergeCell ref="A83:B83"/>
    <mergeCell ref="C83:K83"/>
    <mergeCell ref="A85:L85"/>
    <mergeCell ref="A87:B87"/>
    <mergeCell ref="C87:N87"/>
    <mergeCell ref="A71:B71"/>
    <mergeCell ref="A73:L73"/>
    <mergeCell ref="A75:B75"/>
    <mergeCell ref="C75:K75"/>
    <mergeCell ref="A77:L77"/>
    <mergeCell ref="A79:B79"/>
    <mergeCell ref="C79:M79"/>
    <mergeCell ref="A59:B59"/>
    <mergeCell ref="A61:L61"/>
    <mergeCell ref="A63:B63"/>
    <mergeCell ref="A65:L65"/>
    <mergeCell ref="A67:B67"/>
    <mergeCell ref="A69:L69"/>
    <mergeCell ref="A48:L48"/>
    <mergeCell ref="A49:L49"/>
    <mergeCell ref="A51:B51"/>
    <mergeCell ref="A53:L53"/>
    <mergeCell ref="A55:B55"/>
    <mergeCell ref="A57:L57"/>
    <mergeCell ref="A2:K2"/>
    <mergeCell ref="A3:A4"/>
    <mergeCell ref="B3:E3"/>
    <mergeCell ref="F3:I3"/>
    <mergeCell ref="J3:K3"/>
    <mergeCell ref="A43:L47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ACA5-35FA-4A3C-A33F-B92074E9FC0F}">
  <dimension ref="A1:T98"/>
  <sheetViews>
    <sheetView zoomScale="80" zoomScaleNormal="80" workbookViewId="0"/>
  </sheetViews>
  <sheetFormatPr defaultColWidth="8" defaultRowHeight="21.75" customHeight="1" x14ac:dyDescent="0.35"/>
  <cols>
    <col min="1" max="1" width="10.75" style="19" customWidth="1"/>
    <col min="2" max="2" width="9.875" style="3" customWidth="1"/>
    <col min="3" max="3" width="11" style="3" customWidth="1"/>
    <col min="4" max="4" width="12.75" style="3" customWidth="1"/>
    <col min="5" max="5" width="12.125" style="3" customWidth="1"/>
    <col min="6" max="6" width="9.375" style="3" customWidth="1"/>
    <col min="7" max="7" width="10.25" style="3" customWidth="1"/>
    <col min="8" max="8" width="11" style="3" customWidth="1"/>
    <col min="9" max="9" width="12.5" style="3" customWidth="1"/>
    <col min="10" max="10" width="11.375" style="3" customWidth="1"/>
    <col min="11" max="11" width="13.875" style="3" customWidth="1"/>
    <col min="12" max="12" width="8" style="3" bestFit="1" customWidth="1"/>
    <col min="13" max="16" width="8" style="3"/>
    <col min="17" max="17" width="15.5" style="3" customWidth="1"/>
    <col min="18" max="16384" width="8" style="3"/>
  </cols>
  <sheetData>
    <row r="1" spans="1:12" ht="21.75" customHeight="1" x14ac:dyDescent="0.35">
      <c r="A1" s="1"/>
      <c r="B1" s="2"/>
      <c r="C1" s="2"/>
      <c r="D1" s="2"/>
      <c r="E1" s="2"/>
      <c r="F1" s="2"/>
      <c r="G1" s="2"/>
      <c r="H1" s="2"/>
      <c r="I1" s="2"/>
      <c r="K1" s="4" t="s">
        <v>48</v>
      </c>
      <c r="L1" s="2"/>
    </row>
    <row r="2" spans="1:12" ht="21" customHeight="1" x14ac:dyDescent="0.35">
      <c r="A2" s="5" t="s">
        <v>49</v>
      </c>
      <c r="B2" s="5"/>
      <c r="C2" s="5"/>
      <c r="D2" s="5"/>
      <c r="E2" s="5"/>
      <c r="F2" s="5"/>
      <c r="G2" s="5"/>
      <c r="H2" s="5"/>
      <c r="I2" s="5"/>
      <c r="J2" s="5"/>
      <c r="K2" s="5"/>
      <c r="L2" s="2"/>
    </row>
    <row r="3" spans="1:12" s="8" customFormat="1" ht="21.6" customHeight="1" x14ac:dyDescent="0.2">
      <c r="A3" s="6" t="s">
        <v>2</v>
      </c>
      <c r="B3" s="7" t="s">
        <v>87</v>
      </c>
      <c r="C3" s="7"/>
      <c r="D3" s="7"/>
      <c r="E3" s="7"/>
      <c r="F3" s="7" t="s">
        <v>50</v>
      </c>
      <c r="G3" s="7"/>
      <c r="H3" s="7"/>
      <c r="I3" s="7"/>
      <c r="J3" s="7" t="s">
        <v>5</v>
      </c>
      <c r="K3" s="7"/>
    </row>
    <row r="4" spans="1:12" s="8" customFormat="1" ht="54" customHeight="1" x14ac:dyDescent="0.2">
      <c r="A4" s="6"/>
      <c r="B4" s="9" t="s">
        <v>6</v>
      </c>
      <c r="C4" s="9" t="s">
        <v>88</v>
      </c>
      <c r="D4" s="9" t="s">
        <v>8</v>
      </c>
      <c r="E4" s="9" t="s">
        <v>89</v>
      </c>
      <c r="F4" s="9" t="s">
        <v>6</v>
      </c>
      <c r="G4" s="9" t="s">
        <v>90</v>
      </c>
      <c r="H4" s="9" t="s">
        <v>8</v>
      </c>
      <c r="I4" s="9" t="s">
        <v>91</v>
      </c>
      <c r="J4" s="9" t="s">
        <v>92</v>
      </c>
      <c r="K4" s="9" t="s">
        <v>93</v>
      </c>
    </row>
    <row r="5" spans="1:12" ht="24.95" customHeight="1" x14ac:dyDescent="0.55000000000000004">
      <c r="A5" s="10" t="s">
        <v>14</v>
      </c>
      <c r="B5" s="11">
        <v>94</v>
      </c>
      <c r="C5" s="11">
        <v>105.3</v>
      </c>
      <c r="D5" s="11">
        <v>4524</v>
      </c>
      <c r="E5" s="12">
        <f>C5/B5</f>
        <v>1.1202127659574468</v>
      </c>
      <c r="F5" s="13">
        <v>95</v>
      </c>
      <c r="G5" s="13">
        <v>202.5</v>
      </c>
      <c r="H5" s="13">
        <v>8700</v>
      </c>
      <c r="I5" s="12">
        <f>G5/F5</f>
        <v>2.1315789473684212</v>
      </c>
      <c r="J5" s="37">
        <f>(G5-C5)/C5</f>
        <v>0.92307692307692313</v>
      </c>
      <c r="K5" s="38">
        <f t="shared" ref="K5:K18" si="0">(I5-E5)/E5</f>
        <v>0.90283400809716619</v>
      </c>
    </row>
    <row r="6" spans="1:12" ht="24.95" customHeight="1" x14ac:dyDescent="0.55000000000000004">
      <c r="A6" s="10" t="s">
        <v>15</v>
      </c>
      <c r="B6" s="11">
        <v>94</v>
      </c>
      <c r="C6" s="11">
        <v>162</v>
      </c>
      <c r="D6" s="11">
        <v>6960</v>
      </c>
      <c r="E6" s="12">
        <f t="shared" ref="E6:E16" si="1">C6/B6</f>
        <v>1.7234042553191489</v>
      </c>
      <c r="F6" s="13">
        <v>95</v>
      </c>
      <c r="G6" s="13">
        <v>226.8</v>
      </c>
      <c r="H6" s="13">
        <v>9744</v>
      </c>
      <c r="I6" s="12">
        <f>G6/F6</f>
        <v>2.3873684210526318</v>
      </c>
      <c r="J6" s="37">
        <f t="shared" ref="J6:J18" si="2">(G6-C6)/C6</f>
        <v>0.40000000000000008</v>
      </c>
      <c r="K6" s="38">
        <f t="shared" si="0"/>
        <v>0.38526315789473703</v>
      </c>
    </row>
    <row r="7" spans="1:12" ht="24.95" customHeight="1" x14ac:dyDescent="0.55000000000000004">
      <c r="A7" s="10" t="s">
        <v>17</v>
      </c>
      <c r="B7" s="11">
        <v>94</v>
      </c>
      <c r="C7" s="11">
        <v>172.8</v>
      </c>
      <c r="D7" s="11">
        <v>7424</v>
      </c>
      <c r="E7" s="12">
        <f t="shared" si="1"/>
        <v>1.8382978723404257</v>
      </c>
      <c r="F7" s="13">
        <v>95</v>
      </c>
      <c r="G7" s="13">
        <v>224.1</v>
      </c>
      <c r="H7" s="13">
        <v>9628</v>
      </c>
      <c r="I7" s="12">
        <f t="shared" ref="I7:I16" si="3">G7/F7</f>
        <v>2.3589473684210525</v>
      </c>
      <c r="J7" s="37">
        <f t="shared" si="2"/>
        <v>0.29687499999999989</v>
      </c>
      <c r="K7" s="38">
        <f t="shared" si="0"/>
        <v>0.28322368421052607</v>
      </c>
    </row>
    <row r="8" spans="1:12" ht="24.95" customHeight="1" x14ac:dyDescent="0.55000000000000004">
      <c r="A8" s="10" t="s">
        <v>18</v>
      </c>
      <c r="B8" s="11">
        <v>94</v>
      </c>
      <c r="C8" s="11">
        <v>116.1</v>
      </c>
      <c r="D8" s="11">
        <v>4988</v>
      </c>
      <c r="E8" s="12">
        <f t="shared" si="1"/>
        <v>1.2351063829787234</v>
      </c>
      <c r="F8" s="13">
        <v>95</v>
      </c>
      <c r="G8" s="13">
        <v>91.8</v>
      </c>
      <c r="H8" s="13">
        <v>3944</v>
      </c>
      <c r="I8" s="12">
        <f t="shared" si="3"/>
        <v>0.96631578947368413</v>
      </c>
      <c r="J8" s="37">
        <f t="shared" si="2"/>
        <v>-0.20930232558139533</v>
      </c>
      <c r="K8" s="38">
        <f t="shared" si="0"/>
        <v>-0.21762545899632812</v>
      </c>
    </row>
    <row r="9" spans="1:12" ht="24.95" customHeight="1" x14ac:dyDescent="0.55000000000000004">
      <c r="A9" s="10" t="s">
        <v>19</v>
      </c>
      <c r="B9" s="11">
        <v>94</v>
      </c>
      <c r="C9" s="11">
        <v>132.30000000000001</v>
      </c>
      <c r="D9" s="11">
        <v>5684</v>
      </c>
      <c r="E9" s="12">
        <f t="shared" si="1"/>
        <v>1.4074468085106384</v>
      </c>
      <c r="F9" s="13">
        <v>95</v>
      </c>
      <c r="G9" s="13">
        <v>151.19999999999999</v>
      </c>
      <c r="H9" s="13">
        <v>6496</v>
      </c>
      <c r="I9" s="12">
        <f t="shared" si="3"/>
        <v>1.591578947368421</v>
      </c>
      <c r="J9" s="37">
        <f t="shared" si="2"/>
        <v>0.14285714285714268</v>
      </c>
      <c r="K9" s="38">
        <f t="shared" si="0"/>
        <v>0.13082706766917279</v>
      </c>
    </row>
    <row r="10" spans="1:12" ht="24.95" customHeight="1" x14ac:dyDescent="0.55000000000000004">
      <c r="A10" s="10" t="s">
        <v>20</v>
      </c>
      <c r="B10" s="11">
        <v>94</v>
      </c>
      <c r="C10" s="11">
        <v>105.3</v>
      </c>
      <c r="D10" s="11">
        <v>4524</v>
      </c>
      <c r="E10" s="12">
        <f t="shared" si="1"/>
        <v>1.1202127659574468</v>
      </c>
      <c r="F10" s="13">
        <v>95</v>
      </c>
      <c r="G10" s="13">
        <v>172.8</v>
      </c>
      <c r="H10" s="13">
        <v>7424</v>
      </c>
      <c r="I10" s="12">
        <f t="shared" si="3"/>
        <v>1.8189473684210526</v>
      </c>
      <c r="J10" s="37">
        <f t="shared" si="2"/>
        <v>0.64102564102564119</v>
      </c>
      <c r="K10" s="38">
        <f t="shared" si="0"/>
        <v>0.62375168690958172</v>
      </c>
    </row>
    <row r="11" spans="1:12" ht="24.95" customHeight="1" x14ac:dyDescent="0.55000000000000004">
      <c r="A11" s="10" t="s">
        <v>21</v>
      </c>
      <c r="B11" s="11">
        <v>94</v>
      </c>
      <c r="C11" s="11">
        <v>108</v>
      </c>
      <c r="D11" s="11">
        <v>4640</v>
      </c>
      <c r="E11" s="12">
        <f t="shared" si="1"/>
        <v>1.1489361702127661</v>
      </c>
      <c r="F11" s="13">
        <v>95</v>
      </c>
      <c r="G11" s="13">
        <f>[1]แต่ละหน่วยงาน!I88</f>
        <v>132.30000000000001</v>
      </c>
      <c r="H11" s="13">
        <f>G11*42.96296296296</f>
        <v>5683.999999999608</v>
      </c>
      <c r="I11" s="12">
        <f t="shared" si="3"/>
        <v>1.3926315789473684</v>
      </c>
      <c r="J11" s="37">
        <f t="shared" si="2"/>
        <v>0.22500000000000012</v>
      </c>
      <c r="K11" s="38">
        <f t="shared" si="0"/>
        <v>0.21210526315789466</v>
      </c>
    </row>
    <row r="12" spans="1:12" ht="24.95" customHeight="1" x14ac:dyDescent="0.55000000000000004">
      <c r="A12" s="10" t="s">
        <v>22</v>
      </c>
      <c r="B12" s="11">
        <v>94</v>
      </c>
      <c r="C12" s="11">
        <v>170.1</v>
      </c>
      <c r="D12" s="11">
        <v>7308</v>
      </c>
      <c r="E12" s="12">
        <f t="shared" si="1"/>
        <v>1.8095744680851062</v>
      </c>
      <c r="F12" s="13">
        <v>95</v>
      </c>
      <c r="G12" s="13">
        <f>[1]แต่ละหน่วยงาน!J88</f>
        <v>167.4</v>
      </c>
      <c r="H12" s="13">
        <f t="shared" ref="H12:H16" si="4">G12*42.96296296296</f>
        <v>7191.9999999995043</v>
      </c>
      <c r="I12" s="12">
        <f t="shared" si="3"/>
        <v>1.7621052631578948</v>
      </c>
      <c r="J12" s="37">
        <f t="shared" si="2"/>
        <v>-1.5873015873015806E-2</v>
      </c>
      <c r="K12" s="38">
        <f t="shared" si="0"/>
        <v>-2.6232247284878732E-2</v>
      </c>
    </row>
    <row r="13" spans="1:12" ht="24.95" customHeight="1" x14ac:dyDescent="0.55000000000000004">
      <c r="A13" s="10" t="s">
        <v>23</v>
      </c>
      <c r="B13" s="11">
        <v>94</v>
      </c>
      <c r="C13" s="11">
        <v>140.4</v>
      </c>
      <c r="D13" s="11">
        <v>6032</v>
      </c>
      <c r="E13" s="12">
        <f t="shared" si="1"/>
        <v>1.4936170212765958</v>
      </c>
      <c r="F13" s="13">
        <v>95</v>
      </c>
      <c r="G13" s="13">
        <f>[1]แต่ละหน่วยงาน!K88</f>
        <v>153.9</v>
      </c>
      <c r="H13" s="13">
        <f t="shared" si="4"/>
        <v>6611.9999999995443</v>
      </c>
      <c r="I13" s="12">
        <f t="shared" si="3"/>
        <v>1.62</v>
      </c>
      <c r="J13" s="37">
        <f t="shared" si="2"/>
        <v>9.6153846153846145E-2</v>
      </c>
      <c r="K13" s="38">
        <f t="shared" si="0"/>
        <v>8.4615384615384648E-2</v>
      </c>
    </row>
    <row r="14" spans="1:12" ht="24.95" customHeight="1" x14ac:dyDescent="0.55000000000000004">
      <c r="A14" s="10" t="s">
        <v>24</v>
      </c>
      <c r="B14" s="11">
        <v>94</v>
      </c>
      <c r="C14" s="11">
        <v>189</v>
      </c>
      <c r="D14" s="11">
        <v>8120</v>
      </c>
      <c r="E14" s="12">
        <f t="shared" si="1"/>
        <v>2.0106382978723403</v>
      </c>
      <c r="F14" s="13">
        <v>95</v>
      </c>
      <c r="G14" s="13">
        <f>[1]แต่ละหน่วยงาน!L88</f>
        <v>164.70000000000002</v>
      </c>
      <c r="H14" s="13">
        <f t="shared" si="4"/>
        <v>7075.9999999995125</v>
      </c>
      <c r="I14" s="12">
        <f t="shared" si="3"/>
        <v>1.7336842105263159</v>
      </c>
      <c r="J14" s="37">
        <f t="shared" si="2"/>
        <v>-0.12857142857142848</v>
      </c>
      <c r="K14" s="38">
        <f t="shared" si="0"/>
        <v>-0.1377443609022555</v>
      </c>
    </row>
    <row r="15" spans="1:12" ht="24.95" customHeight="1" x14ac:dyDescent="0.55000000000000004">
      <c r="A15" s="10" t="s">
        <v>25</v>
      </c>
      <c r="B15" s="11">
        <v>94</v>
      </c>
      <c r="C15" s="11">
        <v>305.10000000000002</v>
      </c>
      <c r="D15" s="11">
        <v>13108</v>
      </c>
      <c r="E15" s="12">
        <f t="shared" si="1"/>
        <v>3.2457446808510642</v>
      </c>
      <c r="F15" s="13">
        <v>95</v>
      </c>
      <c r="G15" s="13">
        <f>[1]แต่ละหน่วยงาน!M88</f>
        <v>164.70000000000002</v>
      </c>
      <c r="H15" s="13">
        <f t="shared" si="4"/>
        <v>7075.9999999995125</v>
      </c>
      <c r="I15" s="12">
        <f t="shared" si="3"/>
        <v>1.7336842105263159</v>
      </c>
      <c r="J15" s="37">
        <f t="shared" si="2"/>
        <v>-0.46017699115044247</v>
      </c>
      <c r="K15" s="38">
        <f t="shared" si="0"/>
        <v>-0.46585933861201678</v>
      </c>
    </row>
    <row r="16" spans="1:12" ht="24.95" customHeight="1" x14ac:dyDescent="0.55000000000000004">
      <c r="A16" s="10" t="s">
        <v>26</v>
      </c>
      <c r="B16" s="11">
        <v>94</v>
      </c>
      <c r="C16" s="11">
        <v>378</v>
      </c>
      <c r="D16" s="11">
        <v>16240</v>
      </c>
      <c r="E16" s="12">
        <f t="shared" si="1"/>
        <v>4.0212765957446805</v>
      </c>
      <c r="F16" s="13">
        <v>95</v>
      </c>
      <c r="G16" s="13">
        <f>[1]แต่ละหน่วยงาน!N88</f>
        <v>175.5</v>
      </c>
      <c r="H16" s="13">
        <f t="shared" si="4"/>
        <v>7539.9999999994798</v>
      </c>
      <c r="I16" s="12">
        <f t="shared" si="3"/>
        <v>1.8473684210526315</v>
      </c>
      <c r="J16" s="37">
        <f t="shared" si="2"/>
        <v>-0.5357142857142857</v>
      </c>
      <c r="K16" s="38">
        <f t="shared" si="0"/>
        <v>-0.54060150375939853</v>
      </c>
    </row>
    <row r="17" spans="1:11" ht="24.95" customHeight="1" x14ac:dyDescent="0.55000000000000004">
      <c r="A17" s="10" t="s">
        <v>27</v>
      </c>
      <c r="B17" s="12">
        <f t="shared" ref="B17:H17" si="5">AVERAGE(B5:B16)</f>
        <v>94</v>
      </c>
      <c r="C17" s="12">
        <f t="shared" si="5"/>
        <v>173.70000000000002</v>
      </c>
      <c r="D17" s="12">
        <f t="shared" si="5"/>
        <v>7462.666666666667</v>
      </c>
      <c r="E17" s="12">
        <f>AVERAGE(E5:E16)</f>
        <v>1.8478723404255317</v>
      </c>
      <c r="F17" s="12">
        <f t="shared" si="5"/>
        <v>95</v>
      </c>
      <c r="G17" s="12">
        <f>AVERAGE(G5:G16)</f>
        <v>168.97499999999999</v>
      </c>
      <c r="H17" s="12">
        <f t="shared" si="5"/>
        <v>7259.6666666664287</v>
      </c>
      <c r="I17" s="12">
        <f>G17/F17</f>
        <v>1.7786842105263156</v>
      </c>
      <c r="J17" s="37">
        <f t="shared" si="2"/>
        <v>-2.7202072538860231E-2</v>
      </c>
      <c r="K17" s="38">
        <f t="shared" si="0"/>
        <v>-3.7442050722661553E-2</v>
      </c>
    </row>
    <row r="18" spans="1:11" ht="24.95" customHeight="1" x14ac:dyDescent="0.55000000000000004">
      <c r="A18" s="10" t="s">
        <v>28</v>
      </c>
      <c r="B18" s="12">
        <f t="shared" ref="B18:I18" si="6">SUM(B5:B16)</f>
        <v>1128</v>
      </c>
      <c r="C18" s="12">
        <f t="shared" si="6"/>
        <v>2084.4</v>
      </c>
      <c r="D18" s="12">
        <f t="shared" si="6"/>
        <v>89552</v>
      </c>
      <c r="E18" s="12">
        <f t="shared" si="6"/>
        <v>22.17446808510638</v>
      </c>
      <c r="F18" s="12">
        <f t="shared" si="6"/>
        <v>1140</v>
      </c>
      <c r="G18" s="12">
        <f t="shared" si="6"/>
        <v>2027.7</v>
      </c>
      <c r="H18" s="12">
        <f t="shared" si="6"/>
        <v>87115.999999997148</v>
      </c>
      <c r="I18" s="12">
        <f t="shared" si="6"/>
        <v>21.344210526315791</v>
      </c>
      <c r="J18" s="37">
        <f t="shared" si="2"/>
        <v>-2.7202072538860124E-2</v>
      </c>
      <c r="K18" s="38">
        <f t="shared" si="0"/>
        <v>-3.7442050722661359E-2</v>
      </c>
    </row>
    <row r="19" spans="1:11" ht="21.75" customHeight="1" x14ac:dyDescent="0.55000000000000004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8"/>
    </row>
    <row r="20" spans="1:11" ht="21.75" customHeight="1" x14ac:dyDescent="0.55000000000000004">
      <c r="A20" s="1"/>
      <c r="B20" s="17"/>
      <c r="C20" s="17"/>
      <c r="D20" s="17"/>
      <c r="E20" s="17"/>
      <c r="F20" s="17"/>
      <c r="G20" s="17"/>
      <c r="H20" s="17"/>
      <c r="I20" s="17"/>
      <c r="J20" s="17"/>
      <c r="K20" s="18"/>
    </row>
    <row r="21" spans="1:11" ht="21.75" customHeight="1" x14ac:dyDescent="0.55000000000000004">
      <c r="A21" s="16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40" spans="1:17" ht="21.95" customHeight="1" x14ac:dyDescent="0.35"/>
    <row r="43" spans="1:17" ht="21.75" customHeight="1" x14ac:dyDescent="0.35">
      <c r="A43" s="40" t="s">
        <v>57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7" ht="21.75" customHeight="1" x14ac:dyDescent="0.6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N44" s="41"/>
      <c r="O44" s="41"/>
      <c r="P44" s="41"/>
      <c r="Q44" s="41"/>
    </row>
    <row r="45" spans="1:17" ht="21.75" customHeight="1" x14ac:dyDescent="0.6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P45" s="41"/>
      <c r="Q45" s="41"/>
    </row>
    <row r="46" spans="1:17" ht="21.75" customHeight="1" x14ac:dyDescent="0.6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P46" s="41"/>
    </row>
    <row r="47" spans="1:17" ht="78.75" customHeight="1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spans="1:17" ht="42" customHeight="1" x14ac:dyDescent="0.35">
      <c r="A48" s="42" t="s">
        <v>94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</row>
    <row r="49" spans="1:12" s="26" customFormat="1" ht="30" customHeight="1" x14ac:dyDescent="0.2">
      <c r="A49" s="43" t="s">
        <v>95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</row>
    <row r="50" spans="1:12" s="26" customFormat="1" ht="50.1" customHeight="1" x14ac:dyDescent="0.2">
      <c r="A50" s="44" t="s">
        <v>34</v>
      </c>
      <c r="B50" s="44" t="s">
        <v>96</v>
      </c>
      <c r="C50" s="45"/>
    </row>
    <row r="51" spans="1:12" s="26" customFormat="1" ht="50.1" customHeight="1" x14ac:dyDescent="0.2">
      <c r="A51" s="46" t="s">
        <v>61</v>
      </c>
      <c r="B51" s="46"/>
      <c r="C51" s="44" t="s">
        <v>97</v>
      </c>
      <c r="D51" s="47"/>
    </row>
    <row r="52" spans="1:12" s="26" customFormat="1" ht="50.1" customHeight="1" x14ac:dyDescent="0.2">
      <c r="A52" s="44" t="s">
        <v>36</v>
      </c>
      <c r="B52" s="44"/>
      <c r="C52" s="44" t="s">
        <v>68</v>
      </c>
    </row>
    <row r="53" spans="1:12" s="26" customFormat="1" ht="30" customHeight="1" x14ac:dyDescent="0.2">
      <c r="A53" s="43" t="s">
        <v>98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</row>
    <row r="54" spans="1:12" s="26" customFormat="1" ht="50.1" customHeight="1" x14ac:dyDescent="0.2">
      <c r="A54" s="44" t="s">
        <v>99</v>
      </c>
      <c r="B54" s="44"/>
      <c r="C54" s="44"/>
      <c r="D54" s="44"/>
    </row>
    <row r="55" spans="1:12" s="26" customFormat="1" ht="50.1" customHeight="1" x14ac:dyDescent="0.2">
      <c r="A55" s="46" t="s">
        <v>35</v>
      </c>
      <c r="B55" s="46"/>
      <c r="C55" s="44" t="s">
        <v>97</v>
      </c>
      <c r="D55" s="47"/>
    </row>
    <row r="56" spans="1:12" s="26" customFormat="1" ht="50.1" customHeight="1" x14ac:dyDescent="0.2">
      <c r="A56" s="44" t="s">
        <v>36</v>
      </c>
      <c r="B56" s="44"/>
      <c r="C56" s="44" t="s">
        <v>68</v>
      </c>
    </row>
    <row r="57" spans="1:12" s="26" customFormat="1" ht="30" customHeight="1" x14ac:dyDescent="0.2">
      <c r="A57" s="43" t="s">
        <v>100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</row>
    <row r="58" spans="1:12" s="26" customFormat="1" ht="50.1" customHeight="1" x14ac:dyDescent="0.2">
      <c r="A58" s="44" t="s">
        <v>101</v>
      </c>
      <c r="B58" s="44"/>
      <c r="C58" s="44"/>
      <c r="D58" s="44"/>
    </row>
    <row r="59" spans="1:12" s="26" customFormat="1" ht="50.1" customHeight="1" x14ac:dyDescent="0.2">
      <c r="A59" s="48" t="s">
        <v>35</v>
      </c>
      <c r="B59" s="48"/>
      <c r="C59" s="44" t="s">
        <v>67</v>
      </c>
      <c r="D59" s="47"/>
    </row>
    <row r="60" spans="1:12" s="26" customFormat="1" ht="50.1" customHeight="1" x14ac:dyDescent="0.2">
      <c r="A60" s="44" t="s">
        <v>36</v>
      </c>
      <c r="B60" s="44"/>
      <c r="C60" s="44" t="s">
        <v>68</v>
      </c>
    </row>
    <row r="61" spans="1:12" s="26" customFormat="1" ht="30" customHeight="1" x14ac:dyDescent="0.2">
      <c r="A61" s="43" t="s">
        <v>102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</row>
    <row r="62" spans="1:12" s="26" customFormat="1" ht="50.1" customHeight="1" x14ac:dyDescent="0.2">
      <c r="A62" s="44" t="s">
        <v>103</v>
      </c>
      <c r="B62" s="44"/>
      <c r="C62" s="44"/>
      <c r="D62" s="44"/>
    </row>
    <row r="63" spans="1:12" s="26" customFormat="1" ht="50.1" customHeight="1" x14ac:dyDescent="0.2">
      <c r="A63" s="48" t="s">
        <v>35</v>
      </c>
      <c r="B63" s="48"/>
      <c r="C63" s="44" t="s">
        <v>62</v>
      </c>
      <c r="D63" s="47"/>
    </row>
    <row r="64" spans="1:12" s="26" customFormat="1" ht="50.1" customHeight="1" x14ac:dyDescent="0.2">
      <c r="A64" s="44" t="s">
        <v>36</v>
      </c>
      <c r="B64" s="44"/>
      <c r="C64" s="44"/>
    </row>
    <row r="65" spans="1:12" s="26" customFormat="1" ht="30" customHeight="1" x14ac:dyDescent="0.2">
      <c r="A65" s="43" t="s">
        <v>104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</row>
    <row r="66" spans="1:12" s="26" customFormat="1" ht="50.1" customHeight="1" x14ac:dyDescent="0.2">
      <c r="A66" s="44" t="s">
        <v>105</v>
      </c>
      <c r="B66" s="44"/>
      <c r="C66" s="44"/>
      <c r="D66" s="44"/>
    </row>
    <row r="67" spans="1:12" s="26" customFormat="1" ht="50.1" customHeight="1" x14ac:dyDescent="0.2">
      <c r="A67" s="48" t="s">
        <v>35</v>
      </c>
      <c r="B67" s="48"/>
      <c r="C67" s="44" t="s">
        <v>67</v>
      </c>
    </row>
    <row r="68" spans="1:12" s="26" customFormat="1" ht="50.1" customHeight="1" x14ac:dyDescent="0.2">
      <c r="A68" s="44" t="s">
        <v>36</v>
      </c>
      <c r="B68" s="44"/>
      <c r="C68" s="44" t="s">
        <v>68</v>
      </c>
    </row>
    <row r="69" spans="1:12" s="26" customFormat="1" ht="30" customHeight="1" x14ac:dyDescent="0.2">
      <c r="A69" s="43" t="s">
        <v>106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</row>
    <row r="70" spans="1:12" s="26" customFormat="1" ht="50.1" customHeight="1" x14ac:dyDescent="0.2">
      <c r="A70" s="44" t="s">
        <v>107</v>
      </c>
      <c r="B70" s="44"/>
      <c r="C70" s="44"/>
      <c r="D70" s="44"/>
    </row>
    <row r="71" spans="1:12" s="26" customFormat="1" ht="50.1" customHeight="1" x14ac:dyDescent="0.2">
      <c r="A71" s="48" t="s">
        <v>35</v>
      </c>
      <c r="B71" s="48"/>
      <c r="C71" s="44" t="s">
        <v>67</v>
      </c>
      <c r="D71" s="47"/>
    </row>
    <row r="72" spans="1:12" s="26" customFormat="1" ht="50.1" customHeight="1" x14ac:dyDescent="0.2">
      <c r="A72" s="44" t="s">
        <v>36</v>
      </c>
      <c r="B72" s="44"/>
      <c r="C72" s="44" t="s">
        <v>68</v>
      </c>
      <c r="E72" s="49"/>
      <c r="F72" s="49"/>
    </row>
    <row r="73" spans="1:12" s="26" customFormat="1" ht="30" customHeight="1" x14ac:dyDescent="0.2">
      <c r="A73" s="43" t="s">
        <v>108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</row>
    <row r="74" spans="1:12" s="26" customFormat="1" ht="39.950000000000003" customHeight="1" x14ac:dyDescent="0.2">
      <c r="A74" s="44" t="s">
        <v>109</v>
      </c>
      <c r="B74" s="44"/>
      <c r="C74" s="45"/>
    </row>
    <row r="75" spans="1:12" s="26" customFormat="1" ht="39.950000000000003" customHeight="1" x14ac:dyDescent="0.2">
      <c r="A75" s="46" t="s">
        <v>35</v>
      </c>
      <c r="B75" s="46"/>
      <c r="C75" s="48" t="s">
        <v>97</v>
      </c>
      <c r="D75" s="48"/>
      <c r="E75" s="48"/>
      <c r="F75" s="48"/>
      <c r="G75" s="48"/>
      <c r="H75" s="48"/>
      <c r="I75" s="48"/>
      <c r="J75" s="48"/>
      <c r="K75" s="48"/>
      <c r="L75" s="48"/>
    </row>
    <row r="76" spans="1:12" s="26" customFormat="1" ht="39.950000000000003" customHeight="1" x14ac:dyDescent="0.2">
      <c r="A76" s="44" t="s">
        <v>36</v>
      </c>
      <c r="B76" s="44"/>
      <c r="C76" s="44" t="s">
        <v>68</v>
      </c>
    </row>
    <row r="77" spans="1:12" s="26" customFormat="1" ht="30" customHeight="1" x14ac:dyDescent="0.2">
      <c r="A77" s="43" t="s">
        <v>110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</row>
    <row r="78" spans="1:12" s="26" customFormat="1" ht="39.950000000000003" customHeight="1" x14ac:dyDescent="0.2">
      <c r="A78" s="44" t="s">
        <v>111</v>
      </c>
      <c r="B78" s="44"/>
      <c r="C78" s="44"/>
      <c r="D78" s="44"/>
    </row>
    <row r="79" spans="1:12" s="26" customFormat="1" ht="39.950000000000003" customHeight="1" x14ac:dyDescent="0.2">
      <c r="A79" s="46" t="s">
        <v>35</v>
      </c>
      <c r="B79" s="46"/>
      <c r="C79" s="48" t="s">
        <v>62</v>
      </c>
      <c r="D79" s="48"/>
      <c r="E79" s="48"/>
      <c r="F79" s="48"/>
      <c r="G79" s="48"/>
      <c r="H79" s="48"/>
      <c r="I79" s="48"/>
      <c r="J79" s="48"/>
      <c r="K79" s="48"/>
      <c r="L79" s="48"/>
    </row>
    <row r="80" spans="1:12" s="26" customFormat="1" ht="39.950000000000003" customHeight="1" x14ac:dyDescent="0.2">
      <c r="A80" s="44" t="s">
        <v>36</v>
      </c>
      <c r="B80" s="44"/>
      <c r="C80" s="44"/>
    </row>
    <row r="81" spans="1:20" s="26" customFormat="1" ht="30" customHeight="1" x14ac:dyDescent="0.2">
      <c r="A81" s="43" t="s">
        <v>112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</row>
    <row r="82" spans="1:20" s="26" customFormat="1" ht="39.950000000000003" customHeight="1" x14ac:dyDescent="0.2">
      <c r="A82" s="44" t="s">
        <v>113</v>
      </c>
      <c r="B82" s="44"/>
      <c r="C82" s="44"/>
      <c r="D82" s="44"/>
      <c r="M82" s="35"/>
      <c r="N82" s="35"/>
      <c r="O82" s="35"/>
      <c r="P82" s="35"/>
      <c r="Q82" s="35"/>
      <c r="R82" s="35"/>
      <c r="S82" s="35"/>
      <c r="T82" s="35"/>
    </row>
    <row r="83" spans="1:20" s="26" customFormat="1" ht="39.950000000000003" customHeight="1" x14ac:dyDescent="0.2">
      <c r="A83" s="48" t="s">
        <v>35</v>
      </c>
      <c r="B83" s="48"/>
      <c r="C83" s="48" t="s">
        <v>97</v>
      </c>
      <c r="D83" s="48"/>
      <c r="E83" s="48"/>
      <c r="F83" s="48"/>
      <c r="G83" s="48"/>
      <c r="H83" s="48"/>
      <c r="I83" s="48"/>
      <c r="J83" s="48"/>
      <c r="K83" s="48"/>
      <c r="L83" s="48"/>
      <c r="M83" s="35"/>
      <c r="N83" s="35"/>
      <c r="O83" s="35"/>
      <c r="P83" s="35"/>
      <c r="Q83" s="35"/>
      <c r="R83" s="35"/>
      <c r="S83" s="35"/>
      <c r="T83" s="35"/>
    </row>
    <row r="84" spans="1:20" s="26" customFormat="1" ht="39.950000000000003" customHeight="1" x14ac:dyDescent="0.2">
      <c r="A84" s="44" t="s">
        <v>36</v>
      </c>
      <c r="B84" s="44"/>
      <c r="C84" s="44" t="s">
        <v>68</v>
      </c>
      <c r="M84" s="35"/>
      <c r="N84" s="35"/>
      <c r="O84" s="35"/>
      <c r="P84" s="35"/>
      <c r="Q84" s="35"/>
      <c r="R84" s="35"/>
      <c r="S84" s="35"/>
      <c r="T84" s="35"/>
    </row>
    <row r="85" spans="1:20" s="26" customFormat="1" ht="30" customHeight="1" x14ac:dyDescent="0.2">
      <c r="A85" s="43" t="s">
        <v>114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</row>
    <row r="86" spans="1:20" s="36" customFormat="1" ht="39.950000000000003" customHeight="1" x14ac:dyDescent="0.55000000000000004">
      <c r="A86" s="44" t="s">
        <v>115</v>
      </c>
      <c r="B86" s="44"/>
      <c r="C86" s="44"/>
      <c r="D86" s="44"/>
      <c r="E86" s="26"/>
      <c r="F86" s="26"/>
      <c r="G86" s="26"/>
      <c r="H86" s="26"/>
      <c r="I86" s="26"/>
      <c r="J86" s="26"/>
      <c r="K86" s="26"/>
      <c r="L86" s="26"/>
    </row>
    <row r="87" spans="1:20" s="36" customFormat="1" ht="39.950000000000003" customHeight="1" x14ac:dyDescent="0.55000000000000004">
      <c r="A87" s="48" t="s">
        <v>35</v>
      </c>
      <c r="B87" s="48"/>
      <c r="C87" s="48" t="s">
        <v>62</v>
      </c>
      <c r="D87" s="48"/>
      <c r="E87" s="48"/>
      <c r="F87" s="48"/>
      <c r="G87" s="48"/>
      <c r="H87" s="48"/>
      <c r="I87" s="48"/>
      <c r="J87" s="48"/>
      <c r="K87" s="48"/>
      <c r="L87" s="26"/>
    </row>
    <row r="88" spans="1:20" s="36" customFormat="1" ht="39.950000000000003" customHeight="1" x14ac:dyDescent="0.55000000000000004">
      <c r="A88" s="44" t="s">
        <v>36</v>
      </c>
      <c r="B88" s="44"/>
      <c r="C88" s="44"/>
      <c r="D88" s="26"/>
      <c r="E88" s="26"/>
      <c r="F88" s="26"/>
      <c r="G88" s="26"/>
      <c r="H88" s="26"/>
      <c r="I88" s="26"/>
      <c r="J88" s="26"/>
      <c r="K88" s="26"/>
      <c r="L88" s="26"/>
    </row>
    <row r="89" spans="1:20" s="36" customFormat="1" ht="30" customHeight="1" x14ac:dyDescent="0.55000000000000004">
      <c r="A89" s="43" t="s">
        <v>116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</row>
    <row r="90" spans="1:20" s="36" customFormat="1" ht="39.950000000000003" customHeight="1" x14ac:dyDescent="0.55000000000000004">
      <c r="A90" s="44" t="s">
        <v>117</v>
      </c>
      <c r="B90" s="44"/>
      <c r="C90" s="44"/>
      <c r="D90" s="44"/>
      <c r="E90" s="26"/>
      <c r="F90" s="26"/>
      <c r="G90" s="26"/>
      <c r="H90" s="26"/>
      <c r="I90" s="26"/>
      <c r="J90" s="26"/>
      <c r="K90" s="26"/>
      <c r="L90" s="26"/>
    </row>
    <row r="91" spans="1:20" s="36" customFormat="1" ht="39.950000000000003" customHeight="1" x14ac:dyDescent="0.55000000000000004">
      <c r="A91" s="48" t="s">
        <v>35</v>
      </c>
      <c r="B91" s="48"/>
      <c r="C91" s="48" t="s">
        <v>62</v>
      </c>
      <c r="D91" s="48"/>
      <c r="E91" s="48"/>
      <c r="F91" s="48"/>
      <c r="G91" s="48"/>
      <c r="H91" s="48"/>
      <c r="I91" s="48"/>
      <c r="J91" s="48"/>
      <c r="K91" s="48"/>
      <c r="L91" s="26"/>
    </row>
    <row r="92" spans="1:20" s="36" customFormat="1" ht="39.950000000000003" customHeight="1" x14ac:dyDescent="0.55000000000000004">
      <c r="A92" s="44" t="s">
        <v>36</v>
      </c>
      <c r="B92" s="44"/>
      <c r="C92" s="44"/>
      <c r="D92" s="26"/>
      <c r="E92" s="26"/>
      <c r="F92" s="26"/>
      <c r="G92" s="26"/>
      <c r="H92" s="26"/>
      <c r="I92" s="26"/>
      <c r="J92" s="26"/>
      <c r="K92" s="26"/>
      <c r="L92" s="26"/>
    </row>
    <row r="93" spans="1:20" s="36" customFormat="1" ht="30" customHeight="1" x14ac:dyDescent="0.55000000000000004">
      <c r="A93" s="43" t="s">
        <v>118</v>
      </c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</row>
    <row r="94" spans="1:20" s="36" customFormat="1" ht="39.950000000000003" customHeight="1" x14ac:dyDescent="0.55000000000000004">
      <c r="A94" s="44" t="s">
        <v>119</v>
      </c>
      <c r="B94" s="44"/>
      <c r="C94" s="44"/>
      <c r="D94" s="44"/>
      <c r="E94" s="26"/>
      <c r="F94" s="26"/>
      <c r="G94" s="26"/>
      <c r="H94" s="26"/>
      <c r="I94" s="26"/>
      <c r="J94" s="26"/>
      <c r="K94" s="26"/>
      <c r="L94" s="26"/>
    </row>
    <row r="95" spans="1:20" s="36" customFormat="1" ht="39.950000000000003" customHeight="1" x14ac:dyDescent="0.55000000000000004">
      <c r="A95" s="48" t="s">
        <v>35</v>
      </c>
      <c r="B95" s="48"/>
      <c r="C95" s="48" t="s">
        <v>62</v>
      </c>
      <c r="D95" s="48"/>
      <c r="E95" s="48"/>
      <c r="F95" s="48"/>
      <c r="G95" s="48"/>
      <c r="H95" s="48"/>
      <c r="I95" s="48"/>
      <c r="J95" s="48"/>
      <c r="K95" s="26"/>
      <c r="L95" s="26"/>
    </row>
    <row r="96" spans="1:20" s="36" customFormat="1" ht="39.950000000000003" customHeight="1" x14ac:dyDescent="0.55000000000000004">
      <c r="A96" s="44" t="s">
        <v>36</v>
      </c>
      <c r="B96" s="44"/>
      <c r="C96" s="44"/>
      <c r="D96" s="26"/>
      <c r="E96" s="49"/>
      <c r="F96" s="49"/>
      <c r="G96" s="26"/>
      <c r="H96" s="26"/>
      <c r="I96" s="26"/>
      <c r="J96" s="26"/>
      <c r="K96" s="26"/>
      <c r="L96" s="26"/>
    </row>
    <row r="97" spans="1:1" ht="21.75" customHeight="1" x14ac:dyDescent="0.35">
      <c r="A97" s="3"/>
    </row>
    <row r="98" spans="1:1" ht="21.75" customHeight="1" x14ac:dyDescent="0.35">
      <c r="A98" s="3"/>
    </row>
  </sheetData>
  <mergeCells count="37">
    <mergeCell ref="A89:L89"/>
    <mergeCell ref="A91:B91"/>
    <mergeCell ref="C91:K91"/>
    <mergeCell ref="A93:L93"/>
    <mergeCell ref="A95:B95"/>
    <mergeCell ref="C95:J95"/>
    <mergeCell ref="A81:L81"/>
    <mergeCell ref="A83:B83"/>
    <mergeCell ref="C83:L83"/>
    <mergeCell ref="A85:L85"/>
    <mergeCell ref="A87:B87"/>
    <mergeCell ref="C87:K87"/>
    <mergeCell ref="A71:B71"/>
    <mergeCell ref="A73:L73"/>
    <mergeCell ref="A75:B75"/>
    <mergeCell ref="C75:L75"/>
    <mergeCell ref="A77:L77"/>
    <mergeCell ref="A79:B79"/>
    <mergeCell ref="C79:L79"/>
    <mergeCell ref="A59:B59"/>
    <mergeCell ref="A61:L61"/>
    <mergeCell ref="A63:B63"/>
    <mergeCell ref="A65:L65"/>
    <mergeCell ref="A67:B67"/>
    <mergeCell ref="A69:L69"/>
    <mergeCell ref="A48:L48"/>
    <mergeCell ref="A49:L49"/>
    <mergeCell ref="A51:B51"/>
    <mergeCell ref="A53:L53"/>
    <mergeCell ref="A55:B55"/>
    <mergeCell ref="A57:L57"/>
    <mergeCell ref="A2:K2"/>
    <mergeCell ref="A3:A4"/>
    <mergeCell ref="B3:E3"/>
    <mergeCell ref="F3:I3"/>
    <mergeCell ref="J3:K3"/>
    <mergeCell ref="A43:L47"/>
  </mergeCells>
  <pageMargins left="0.7" right="0.7" top="0.75" bottom="0.75" header="0.3" footer="0.3"/>
  <pageSetup paperSize="9" scale="57" fitToWidth="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112C-D59C-4276-A850-DC1B837A2AA5}">
  <dimension ref="A1:Z987"/>
  <sheetViews>
    <sheetView workbookViewId="0"/>
  </sheetViews>
  <sheetFormatPr defaultRowHeight="12.75" x14ac:dyDescent="0.2"/>
  <cols>
    <col min="1" max="1" width="9" style="54"/>
    <col min="2" max="2" width="10.875" style="54" bestFit="1" customWidth="1"/>
    <col min="3" max="12" width="9" style="54"/>
    <col min="13" max="13" width="9.125" style="54" customWidth="1"/>
    <col min="14" max="16384" width="9" style="54"/>
  </cols>
  <sheetData>
    <row r="1" spans="1:26" x14ac:dyDescent="0.2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2"/>
      <c r="Q1" s="52"/>
      <c r="R1" s="52"/>
      <c r="S1" s="52"/>
      <c r="T1" s="52"/>
      <c r="U1" s="52"/>
      <c r="V1" s="52"/>
      <c r="W1" s="52"/>
      <c r="X1" s="52"/>
      <c r="Y1" s="52"/>
      <c r="Z1" s="53"/>
    </row>
    <row r="2" spans="1:26" ht="15" x14ac:dyDescent="0.25">
      <c r="A2" s="55" t="s">
        <v>120</v>
      </c>
      <c r="B2" s="56" t="s">
        <v>121</v>
      </c>
      <c r="C2" s="56" t="s">
        <v>122</v>
      </c>
      <c r="D2" s="56" t="s">
        <v>123</v>
      </c>
      <c r="E2" s="56" t="s">
        <v>124</v>
      </c>
      <c r="F2" s="56" t="s">
        <v>125</v>
      </c>
      <c r="G2" s="56" t="s">
        <v>126</v>
      </c>
      <c r="H2" s="56" t="s">
        <v>127</v>
      </c>
      <c r="I2" s="56" t="s">
        <v>128</v>
      </c>
      <c r="J2" s="56" t="s">
        <v>129</v>
      </c>
      <c r="K2" s="56" t="s">
        <v>130</v>
      </c>
      <c r="L2" s="56" t="s">
        <v>131</v>
      </c>
      <c r="M2" s="56" t="s">
        <v>132</v>
      </c>
      <c r="N2" s="56" t="s">
        <v>133</v>
      </c>
      <c r="O2" s="56" t="s">
        <v>28</v>
      </c>
      <c r="P2" s="57"/>
      <c r="Q2" s="57"/>
      <c r="R2" s="57"/>
      <c r="S2" s="57"/>
      <c r="T2" s="57"/>
      <c r="U2" s="57"/>
      <c r="V2" s="57"/>
      <c r="W2" s="57"/>
      <c r="X2" s="57"/>
      <c r="Y2" s="57"/>
      <c r="Z2" s="58"/>
    </row>
    <row r="3" spans="1:26" ht="15" x14ac:dyDescent="0.25">
      <c r="A3" s="59">
        <v>65</v>
      </c>
      <c r="B3" s="56" t="s">
        <v>134</v>
      </c>
      <c r="C3" s="56">
        <v>7</v>
      </c>
      <c r="D3" s="56">
        <v>2</v>
      </c>
      <c r="E3" s="56">
        <v>2</v>
      </c>
      <c r="F3" s="56">
        <v>5</v>
      </c>
      <c r="G3" s="56">
        <v>2</v>
      </c>
      <c r="H3" s="56">
        <v>2</v>
      </c>
      <c r="I3" s="56">
        <v>2</v>
      </c>
      <c r="J3" s="56">
        <v>1</v>
      </c>
      <c r="K3" s="56">
        <v>2</v>
      </c>
      <c r="L3" s="56">
        <v>1</v>
      </c>
      <c r="M3" s="56">
        <v>1</v>
      </c>
      <c r="N3" s="56">
        <v>1</v>
      </c>
      <c r="O3" s="60">
        <v>28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8"/>
    </row>
    <row r="4" spans="1:26" ht="15" x14ac:dyDescent="0.25">
      <c r="A4" s="61"/>
      <c r="B4" s="56" t="s">
        <v>135</v>
      </c>
      <c r="C4" s="56">
        <v>1</v>
      </c>
      <c r="D4" s="62"/>
      <c r="E4" s="62"/>
      <c r="F4" s="56">
        <v>1</v>
      </c>
      <c r="G4" s="56">
        <v>1</v>
      </c>
      <c r="H4" s="62"/>
      <c r="I4" s="62"/>
      <c r="J4" s="62"/>
      <c r="K4" s="56">
        <v>1</v>
      </c>
      <c r="L4" s="62"/>
      <c r="M4" s="56">
        <v>15</v>
      </c>
      <c r="N4" s="56">
        <v>1</v>
      </c>
      <c r="O4" s="60">
        <v>20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8"/>
    </row>
    <row r="5" spans="1:26" ht="15" x14ac:dyDescent="0.25">
      <c r="A5" s="61"/>
      <c r="B5" s="56" t="s">
        <v>136</v>
      </c>
      <c r="C5" s="62"/>
      <c r="D5" s="62"/>
      <c r="E5" s="56">
        <v>1</v>
      </c>
      <c r="F5" s="62"/>
      <c r="G5" s="62"/>
      <c r="H5" s="62"/>
      <c r="I5" s="62"/>
      <c r="J5" s="56">
        <v>2</v>
      </c>
      <c r="K5" s="62"/>
      <c r="L5" s="56">
        <v>1</v>
      </c>
      <c r="M5" s="62"/>
      <c r="N5" s="56">
        <v>1</v>
      </c>
      <c r="O5" s="60">
        <v>5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8"/>
    </row>
    <row r="6" spans="1:26" ht="15" x14ac:dyDescent="0.25">
      <c r="A6" s="63"/>
      <c r="B6" s="56" t="s">
        <v>137</v>
      </c>
      <c r="C6" s="56">
        <v>3</v>
      </c>
      <c r="D6" s="56">
        <v>7</v>
      </c>
      <c r="E6" s="56">
        <v>15</v>
      </c>
      <c r="F6" s="56">
        <v>3</v>
      </c>
      <c r="G6" s="56">
        <v>3</v>
      </c>
      <c r="H6" s="56">
        <v>2</v>
      </c>
      <c r="I6" s="56">
        <v>3</v>
      </c>
      <c r="J6" s="56">
        <v>2</v>
      </c>
      <c r="K6" s="56">
        <v>2</v>
      </c>
      <c r="L6" s="56">
        <v>1</v>
      </c>
      <c r="M6" s="62"/>
      <c r="N6" s="62"/>
      <c r="O6" s="60">
        <v>41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8"/>
    </row>
    <row r="7" spans="1:26" ht="15" x14ac:dyDescent="0.25">
      <c r="A7" s="64"/>
      <c r="B7" s="60" t="s">
        <v>138</v>
      </c>
      <c r="C7" s="60">
        <v>11</v>
      </c>
      <c r="D7" s="60">
        <v>9</v>
      </c>
      <c r="E7" s="60">
        <v>18</v>
      </c>
      <c r="F7" s="60">
        <v>9</v>
      </c>
      <c r="G7" s="60">
        <v>6</v>
      </c>
      <c r="H7" s="60">
        <v>4</v>
      </c>
      <c r="I7" s="60">
        <v>5</v>
      </c>
      <c r="J7" s="60">
        <v>5</v>
      </c>
      <c r="K7" s="60">
        <v>5</v>
      </c>
      <c r="L7" s="60">
        <v>3</v>
      </c>
      <c r="M7" s="60">
        <v>16</v>
      </c>
      <c r="N7" s="60">
        <v>3</v>
      </c>
      <c r="O7" s="60">
        <v>94</v>
      </c>
      <c r="P7" s="57"/>
      <c r="Q7" s="57"/>
      <c r="R7" s="57"/>
      <c r="S7" s="57"/>
      <c r="T7" s="57"/>
      <c r="U7" s="57"/>
      <c r="V7" s="57"/>
      <c r="W7" s="57"/>
      <c r="X7" s="57"/>
      <c r="Y7" s="57"/>
      <c r="Z7" s="58"/>
    </row>
    <row r="8" spans="1:26" ht="15" x14ac:dyDescent="0.25">
      <c r="A8" s="64"/>
      <c r="B8" s="60" t="s">
        <v>139</v>
      </c>
      <c r="C8" s="60">
        <v>29.7</v>
      </c>
      <c r="D8" s="60">
        <v>24.3</v>
      </c>
      <c r="E8" s="60">
        <v>48.6</v>
      </c>
      <c r="F8" s="60">
        <v>24.3</v>
      </c>
      <c r="G8" s="60">
        <v>16.2</v>
      </c>
      <c r="H8" s="60">
        <v>10.8</v>
      </c>
      <c r="I8" s="60">
        <v>13.5</v>
      </c>
      <c r="J8" s="60">
        <v>13.5</v>
      </c>
      <c r="K8" s="60">
        <v>13.5</v>
      </c>
      <c r="L8" s="60">
        <v>8.1</v>
      </c>
      <c r="M8" s="60">
        <v>43.2</v>
      </c>
      <c r="N8" s="60">
        <v>8.1</v>
      </c>
      <c r="O8" s="60">
        <v>253.8</v>
      </c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</row>
    <row r="9" spans="1:26" x14ac:dyDescent="0.2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57"/>
      <c r="Q9" s="57"/>
      <c r="R9" s="57"/>
      <c r="S9" s="57"/>
      <c r="T9" s="57"/>
      <c r="U9" s="57"/>
      <c r="V9" s="57"/>
      <c r="W9" s="57"/>
      <c r="X9" s="57"/>
      <c r="Y9" s="57"/>
      <c r="Z9" s="58"/>
    </row>
    <row r="10" spans="1:26" ht="15" x14ac:dyDescent="0.25">
      <c r="A10" s="55" t="s">
        <v>120</v>
      </c>
      <c r="B10" s="56" t="s">
        <v>140</v>
      </c>
      <c r="C10" s="56" t="s">
        <v>122</v>
      </c>
      <c r="D10" s="56" t="s">
        <v>123</v>
      </c>
      <c r="E10" s="56" t="s">
        <v>124</v>
      </c>
      <c r="F10" s="56" t="s">
        <v>125</v>
      </c>
      <c r="G10" s="56" t="s">
        <v>126</v>
      </c>
      <c r="H10" s="56" t="s">
        <v>127</v>
      </c>
      <c r="I10" s="56" t="s">
        <v>128</v>
      </c>
      <c r="J10" s="56" t="s">
        <v>129</v>
      </c>
      <c r="K10" s="56" t="s">
        <v>130</v>
      </c>
      <c r="L10" s="56" t="s">
        <v>131</v>
      </c>
      <c r="M10" s="56" t="s">
        <v>132</v>
      </c>
      <c r="N10" s="56" t="s">
        <v>133</v>
      </c>
      <c r="O10" s="56" t="s">
        <v>28</v>
      </c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8"/>
    </row>
    <row r="11" spans="1:26" ht="15" x14ac:dyDescent="0.25">
      <c r="A11" s="55">
        <v>65</v>
      </c>
      <c r="B11" s="56" t="s">
        <v>134</v>
      </c>
      <c r="C11" s="62"/>
      <c r="D11" s="62"/>
      <c r="E11" s="62"/>
      <c r="F11" s="62"/>
      <c r="G11" s="62"/>
      <c r="H11" s="62"/>
      <c r="I11" s="62"/>
      <c r="J11" s="62"/>
      <c r="K11" s="62"/>
      <c r="L11" s="56">
        <v>21</v>
      </c>
      <c r="M11" s="56">
        <v>35</v>
      </c>
      <c r="N11" s="56">
        <v>0</v>
      </c>
      <c r="O11" s="60">
        <v>56</v>
      </c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8"/>
    </row>
    <row r="12" spans="1:26" ht="15" x14ac:dyDescent="0.25">
      <c r="A12" s="64"/>
      <c r="B12" s="60" t="s">
        <v>138</v>
      </c>
      <c r="C12" s="60">
        <v>0</v>
      </c>
      <c r="D12" s="60">
        <v>0</v>
      </c>
      <c r="E12" s="60">
        <v>0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21</v>
      </c>
      <c r="M12" s="60">
        <v>35</v>
      </c>
      <c r="N12" s="60">
        <v>0</v>
      </c>
      <c r="O12" s="60">
        <v>56</v>
      </c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8"/>
    </row>
    <row r="13" spans="1:26" ht="15" x14ac:dyDescent="0.25">
      <c r="A13" s="64"/>
      <c r="B13" s="60" t="s">
        <v>139</v>
      </c>
      <c r="C13" s="60">
        <v>0</v>
      </c>
      <c r="D13" s="60">
        <v>0</v>
      </c>
      <c r="E13" s="60">
        <v>0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56.7</v>
      </c>
      <c r="M13" s="60">
        <v>94.5</v>
      </c>
      <c r="N13" s="60">
        <v>0</v>
      </c>
      <c r="O13" s="60">
        <v>151.19999999999999</v>
      </c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8"/>
    </row>
    <row r="14" spans="1:26" x14ac:dyDescent="0.2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8"/>
    </row>
    <row r="15" spans="1:26" ht="15" x14ac:dyDescent="0.25">
      <c r="A15" s="55" t="s">
        <v>120</v>
      </c>
      <c r="B15" s="56" t="s">
        <v>141</v>
      </c>
      <c r="C15" s="56" t="s">
        <v>122</v>
      </c>
      <c r="D15" s="56" t="s">
        <v>123</v>
      </c>
      <c r="E15" s="56" t="s">
        <v>124</v>
      </c>
      <c r="F15" s="56" t="s">
        <v>125</v>
      </c>
      <c r="G15" s="56" t="s">
        <v>126</v>
      </c>
      <c r="H15" s="56" t="s">
        <v>127</v>
      </c>
      <c r="I15" s="56" t="s">
        <v>128</v>
      </c>
      <c r="J15" s="56" t="s">
        <v>129</v>
      </c>
      <c r="K15" s="56" t="s">
        <v>130</v>
      </c>
      <c r="L15" s="56" t="s">
        <v>131</v>
      </c>
      <c r="M15" s="56" t="s">
        <v>132</v>
      </c>
      <c r="N15" s="56" t="s">
        <v>133</v>
      </c>
      <c r="O15" s="56" t="s">
        <v>28</v>
      </c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8"/>
    </row>
    <row r="16" spans="1:26" ht="15" x14ac:dyDescent="0.25">
      <c r="A16" s="55">
        <v>65</v>
      </c>
      <c r="B16" s="56" t="s">
        <v>134</v>
      </c>
      <c r="C16" s="56">
        <v>10</v>
      </c>
      <c r="D16" s="56">
        <v>5</v>
      </c>
      <c r="E16" s="56">
        <v>20</v>
      </c>
      <c r="F16" s="56">
        <v>10</v>
      </c>
      <c r="G16" s="56">
        <v>5</v>
      </c>
      <c r="H16" s="56">
        <v>5</v>
      </c>
      <c r="I16" s="56">
        <v>5</v>
      </c>
      <c r="J16" s="56">
        <v>5</v>
      </c>
      <c r="K16" s="56">
        <v>15</v>
      </c>
      <c r="L16" s="56">
        <v>10</v>
      </c>
      <c r="M16" s="56">
        <v>5</v>
      </c>
      <c r="N16" s="56">
        <v>5</v>
      </c>
      <c r="O16" s="60">
        <v>100</v>
      </c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8"/>
    </row>
    <row r="17" spans="1:26" ht="15" x14ac:dyDescent="0.25">
      <c r="A17" s="64"/>
      <c r="B17" s="60" t="s">
        <v>138</v>
      </c>
      <c r="C17" s="60">
        <v>10</v>
      </c>
      <c r="D17" s="60">
        <v>5</v>
      </c>
      <c r="E17" s="60">
        <v>20</v>
      </c>
      <c r="F17" s="60">
        <v>10</v>
      </c>
      <c r="G17" s="60">
        <v>5</v>
      </c>
      <c r="H17" s="60">
        <v>5</v>
      </c>
      <c r="I17" s="60">
        <v>5</v>
      </c>
      <c r="J17" s="60">
        <v>5</v>
      </c>
      <c r="K17" s="60">
        <v>15</v>
      </c>
      <c r="L17" s="60">
        <v>10</v>
      </c>
      <c r="M17" s="60">
        <v>5</v>
      </c>
      <c r="N17" s="60">
        <v>5</v>
      </c>
      <c r="O17" s="60">
        <v>100</v>
      </c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1:26" ht="15" x14ac:dyDescent="0.25">
      <c r="A18" s="64"/>
      <c r="B18" s="60" t="s">
        <v>139</v>
      </c>
      <c r="C18" s="60">
        <v>27</v>
      </c>
      <c r="D18" s="60">
        <v>13.5</v>
      </c>
      <c r="E18" s="60">
        <v>54</v>
      </c>
      <c r="F18" s="60">
        <v>27</v>
      </c>
      <c r="G18" s="60">
        <v>13.5</v>
      </c>
      <c r="H18" s="60">
        <v>13.5</v>
      </c>
      <c r="I18" s="60">
        <v>13.5</v>
      </c>
      <c r="J18" s="60">
        <v>13.5</v>
      </c>
      <c r="K18" s="60">
        <v>40.5</v>
      </c>
      <c r="L18" s="60">
        <v>27</v>
      </c>
      <c r="M18" s="60">
        <v>13.5</v>
      </c>
      <c r="N18" s="60">
        <v>13.5</v>
      </c>
      <c r="O18" s="60">
        <v>270</v>
      </c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</row>
    <row r="19" spans="1:26" x14ac:dyDescent="0.2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</row>
    <row r="20" spans="1:26" ht="15" x14ac:dyDescent="0.25">
      <c r="A20" s="55" t="s">
        <v>120</v>
      </c>
      <c r="B20" s="56" t="s">
        <v>142</v>
      </c>
      <c r="C20" s="56" t="s">
        <v>122</v>
      </c>
      <c r="D20" s="56" t="s">
        <v>123</v>
      </c>
      <c r="E20" s="56" t="s">
        <v>124</v>
      </c>
      <c r="F20" s="56" t="s">
        <v>125</v>
      </c>
      <c r="G20" s="56" t="s">
        <v>126</v>
      </c>
      <c r="H20" s="56" t="s">
        <v>127</v>
      </c>
      <c r="I20" s="56" t="s">
        <v>128</v>
      </c>
      <c r="J20" s="56" t="s">
        <v>129</v>
      </c>
      <c r="K20" s="56" t="s">
        <v>130</v>
      </c>
      <c r="L20" s="56" t="s">
        <v>131</v>
      </c>
      <c r="M20" s="56" t="s">
        <v>132</v>
      </c>
      <c r="N20" s="56" t="s">
        <v>133</v>
      </c>
      <c r="O20" s="56" t="s">
        <v>28</v>
      </c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</row>
    <row r="21" spans="1:26" ht="15" x14ac:dyDescent="0.25">
      <c r="A21" s="55">
        <v>65</v>
      </c>
      <c r="B21" s="56" t="s">
        <v>134</v>
      </c>
      <c r="C21" s="56">
        <v>10</v>
      </c>
      <c r="D21" s="56">
        <v>15</v>
      </c>
      <c r="E21" s="56">
        <v>15</v>
      </c>
      <c r="F21" s="56">
        <v>5</v>
      </c>
      <c r="G21" s="56">
        <v>10</v>
      </c>
      <c r="H21" s="56">
        <v>15</v>
      </c>
      <c r="I21" s="56">
        <v>15</v>
      </c>
      <c r="J21" s="56">
        <v>15</v>
      </c>
      <c r="K21" s="56">
        <v>10</v>
      </c>
      <c r="L21" s="56">
        <v>15</v>
      </c>
      <c r="M21" s="56">
        <v>10</v>
      </c>
      <c r="N21" s="56">
        <v>10</v>
      </c>
      <c r="O21" s="60">
        <v>145</v>
      </c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</row>
    <row r="22" spans="1:26" ht="15" x14ac:dyDescent="0.25">
      <c r="A22" s="64"/>
      <c r="B22" s="60" t="s">
        <v>138</v>
      </c>
      <c r="C22" s="60">
        <v>10</v>
      </c>
      <c r="D22" s="60">
        <v>15</v>
      </c>
      <c r="E22" s="60">
        <v>15</v>
      </c>
      <c r="F22" s="60">
        <v>5</v>
      </c>
      <c r="G22" s="60">
        <v>10</v>
      </c>
      <c r="H22" s="60">
        <v>15</v>
      </c>
      <c r="I22" s="60">
        <v>15</v>
      </c>
      <c r="J22" s="60">
        <v>15</v>
      </c>
      <c r="K22" s="60">
        <v>10</v>
      </c>
      <c r="L22" s="60">
        <v>15</v>
      </c>
      <c r="M22" s="60">
        <v>10</v>
      </c>
      <c r="N22" s="60">
        <v>10</v>
      </c>
      <c r="O22" s="60">
        <v>145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</row>
    <row r="23" spans="1:26" ht="15" x14ac:dyDescent="0.25">
      <c r="A23" s="64"/>
      <c r="B23" s="60" t="s">
        <v>139</v>
      </c>
      <c r="C23" s="60">
        <v>27</v>
      </c>
      <c r="D23" s="60">
        <v>40.5</v>
      </c>
      <c r="E23" s="60">
        <v>40.5</v>
      </c>
      <c r="F23" s="60">
        <v>13.5</v>
      </c>
      <c r="G23" s="60">
        <v>27</v>
      </c>
      <c r="H23" s="60">
        <v>40.5</v>
      </c>
      <c r="I23" s="60">
        <v>40.5</v>
      </c>
      <c r="J23" s="60">
        <v>40.5</v>
      </c>
      <c r="K23" s="60">
        <v>27</v>
      </c>
      <c r="L23" s="60">
        <v>40.5</v>
      </c>
      <c r="M23" s="60">
        <v>27</v>
      </c>
      <c r="N23" s="60">
        <v>27</v>
      </c>
      <c r="O23" s="60">
        <v>391.5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</row>
    <row r="24" spans="1:26" x14ac:dyDescent="0.2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</row>
    <row r="25" spans="1:26" ht="15" x14ac:dyDescent="0.25">
      <c r="A25" s="55" t="s">
        <v>120</v>
      </c>
      <c r="B25" s="56" t="s">
        <v>143</v>
      </c>
      <c r="C25" s="56" t="s">
        <v>122</v>
      </c>
      <c r="D25" s="56" t="s">
        <v>123</v>
      </c>
      <c r="E25" s="56" t="s">
        <v>124</v>
      </c>
      <c r="F25" s="56" t="s">
        <v>125</v>
      </c>
      <c r="G25" s="56" t="s">
        <v>126</v>
      </c>
      <c r="H25" s="56" t="s">
        <v>127</v>
      </c>
      <c r="I25" s="56" t="s">
        <v>128</v>
      </c>
      <c r="J25" s="56" t="s">
        <v>129</v>
      </c>
      <c r="K25" s="56" t="s">
        <v>130</v>
      </c>
      <c r="L25" s="56" t="s">
        <v>131</v>
      </c>
      <c r="M25" s="56" t="s">
        <v>132</v>
      </c>
      <c r="N25" s="56" t="s">
        <v>133</v>
      </c>
      <c r="O25" s="56" t="s">
        <v>28</v>
      </c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</row>
    <row r="26" spans="1:26" ht="15" x14ac:dyDescent="0.25">
      <c r="A26" s="55">
        <v>65</v>
      </c>
      <c r="B26" s="56" t="s">
        <v>134</v>
      </c>
      <c r="C26" s="56">
        <v>1</v>
      </c>
      <c r="D26" s="56">
        <v>0</v>
      </c>
      <c r="E26" s="56">
        <v>1</v>
      </c>
      <c r="F26" s="56">
        <v>0</v>
      </c>
      <c r="G26" s="56">
        <v>1</v>
      </c>
      <c r="H26" s="56">
        <v>0</v>
      </c>
      <c r="I26" s="56">
        <v>1</v>
      </c>
      <c r="J26" s="56">
        <v>0</v>
      </c>
      <c r="K26" s="56">
        <v>1</v>
      </c>
      <c r="L26" s="56">
        <v>0</v>
      </c>
      <c r="M26" s="56">
        <v>1</v>
      </c>
      <c r="N26" s="56">
        <v>0</v>
      </c>
      <c r="O26" s="60">
        <v>6</v>
      </c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</row>
    <row r="27" spans="1:26" ht="15" x14ac:dyDescent="0.25">
      <c r="A27" s="64"/>
      <c r="B27" s="60" t="s">
        <v>138</v>
      </c>
      <c r="C27" s="60">
        <v>1</v>
      </c>
      <c r="D27" s="60">
        <v>0</v>
      </c>
      <c r="E27" s="60">
        <v>1</v>
      </c>
      <c r="F27" s="60">
        <v>0</v>
      </c>
      <c r="G27" s="60">
        <v>1</v>
      </c>
      <c r="H27" s="60">
        <v>0</v>
      </c>
      <c r="I27" s="60">
        <v>1</v>
      </c>
      <c r="J27" s="60">
        <v>0</v>
      </c>
      <c r="K27" s="60">
        <v>1</v>
      </c>
      <c r="L27" s="60">
        <v>0</v>
      </c>
      <c r="M27" s="60">
        <v>1</v>
      </c>
      <c r="N27" s="60">
        <v>0</v>
      </c>
      <c r="O27" s="60">
        <v>6</v>
      </c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</row>
    <row r="28" spans="1:26" ht="15" x14ac:dyDescent="0.25">
      <c r="A28" s="64"/>
      <c r="B28" s="60" t="s">
        <v>139</v>
      </c>
      <c r="C28" s="60">
        <v>2.7</v>
      </c>
      <c r="D28" s="60">
        <v>0</v>
      </c>
      <c r="E28" s="60">
        <v>2.7</v>
      </c>
      <c r="F28" s="60">
        <v>0</v>
      </c>
      <c r="G28" s="60">
        <v>2.7</v>
      </c>
      <c r="H28" s="60">
        <v>0</v>
      </c>
      <c r="I28" s="60">
        <v>2.7</v>
      </c>
      <c r="J28" s="60">
        <v>0</v>
      </c>
      <c r="K28" s="60">
        <v>2.7</v>
      </c>
      <c r="L28" s="60">
        <v>0</v>
      </c>
      <c r="M28" s="60">
        <v>2.7</v>
      </c>
      <c r="N28" s="60">
        <v>0</v>
      </c>
      <c r="O28" s="60">
        <v>16.2</v>
      </c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</row>
    <row r="29" spans="1:26" x14ac:dyDescent="0.2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</row>
    <row r="30" spans="1:26" ht="15" x14ac:dyDescent="0.25">
      <c r="A30" s="69" t="s">
        <v>120</v>
      </c>
      <c r="B30" s="70" t="s">
        <v>144</v>
      </c>
      <c r="C30" s="70" t="s">
        <v>122</v>
      </c>
      <c r="D30" s="70" t="s">
        <v>123</v>
      </c>
      <c r="E30" s="70" t="s">
        <v>124</v>
      </c>
      <c r="F30" s="70" t="s">
        <v>125</v>
      </c>
      <c r="G30" s="70" t="s">
        <v>126</v>
      </c>
      <c r="H30" s="70" t="s">
        <v>127</v>
      </c>
      <c r="I30" s="70" t="s">
        <v>128</v>
      </c>
      <c r="J30" s="70" t="s">
        <v>129</v>
      </c>
      <c r="K30" s="70" t="s">
        <v>130</v>
      </c>
      <c r="L30" s="70" t="s">
        <v>131</v>
      </c>
      <c r="M30" s="70" t="s">
        <v>132</v>
      </c>
      <c r="N30" s="70" t="s">
        <v>133</v>
      </c>
      <c r="O30" s="70" t="s">
        <v>28</v>
      </c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</row>
    <row r="31" spans="1:26" ht="15" x14ac:dyDescent="0.25">
      <c r="A31" s="71">
        <v>66</v>
      </c>
      <c r="B31" s="70" t="s">
        <v>134</v>
      </c>
      <c r="C31" s="70">
        <v>2</v>
      </c>
      <c r="D31" s="70">
        <v>2</v>
      </c>
      <c r="E31" s="70">
        <v>1</v>
      </c>
      <c r="F31" s="70">
        <v>1</v>
      </c>
      <c r="G31" s="72"/>
      <c r="H31" s="72"/>
      <c r="I31" s="70">
        <v>4</v>
      </c>
      <c r="J31" s="70">
        <v>2</v>
      </c>
      <c r="K31" s="70">
        <v>1</v>
      </c>
      <c r="L31" s="70">
        <v>1</v>
      </c>
      <c r="M31" s="70">
        <v>5</v>
      </c>
      <c r="N31" s="70">
        <v>6</v>
      </c>
      <c r="O31" s="73">
        <v>25</v>
      </c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8"/>
    </row>
    <row r="32" spans="1:26" ht="15" x14ac:dyDescent="0.25">
      <c r="A32" s="74"/>
      <c r="B32" s="70" t="s">
        <v>135</v>
      </c>
      <c r="C32" s="70">
        <v>1</v>
      </c>
      <c r="D32" s="70">
        <v>3</v>
      </c>
      <c r="E32" s="70">
        <v>2</v>
      </c>
      <c r="F32" s="72"/>
      <c r="G32" s="70">
        <v>1</v>
      </c>
      <c r="H32" s="70">
        <v>2</v>
      </c>
      <c r="I32" s="72"/>
      <c r="J32" s="70">
        <v>1</v>
      </c>
      <c r="K32" s="72"/>
      <c r="L32" s="70">
        <v>1</v>
      </c>
      <c r="M32" s="72"/>
      <c r="N32" s="70">
        <v>2</v>
      </c>
      <c r="O32" s="73">
        <v>13</v>
      </c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15" x14ac:dyDescent="0.25">
      <c r="A33" s="74"/>
      <c r="B33" s="70" t="s">
        <v>136</v>
      </c>
      <c r="C33" s="70">
        <v>1</v>
      </c>
      <c r="D33" s="70">
        <v>20</v>
      </c>
      <c r="E33" s="70">
        <v>20</v>
      </c>
      <c r="F33" s="70">
        <v>1</v>
      </c>
      <c r="G33" s="70">
        <v>2</v>
      </c>
      <c r="H33" s="72"/>
      <c r="I33" s="72"/>
      <c r="J33" s="72"/>
      <c r="K33" s="72"/>
      <c r="L33" s="72"/>
      <c r="M33" s="70">
        <v>5</v>
      </c>
      <c r="N33" s="70">
        <v>10</v>
      </c>
      <c r="O33" s="73">
        <v>59</v>
      </c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15" x14ac:dyDescent="0.25">
      <c r="A34" s="75"/>
      <c r="B34" s="70" t="s">
        <v>137</v>
      </c>
      <c r="C34" s="70">
        <v>1</v>
      </c>
      <c r="D34" s="72"/>
      <c r="E34" s="72"/>
      <c r="F34" s="70">
        <v>1</v>
      </c>
      <c r="G34" s="72"/>
      <c r="H34" s="70">
        <v>2</v>
      </c>
      <c r="I34" s="72"/>
      <c r="J34" s="72"/>
      <c r="K34" s="72"/>
      <c r="L34" s="72"/>
      <c r="M34" s="70">
        <v>1</v>
      </c>
      <c r="N34" s="70">
        <v>1</v>
      </c>
      <c r="O34" s="73">
        <v>6</v>
      </c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8"/>
    </row>
    <row r="35" spans="1:26" ht="15" x14ac:dyDescent="0.25">
      <c r="A35" s="76"/>
      <c r="B35" s="73" t="s">
        <v>138</v>
      </c>
      <c r="C35" s="73">
        <v>5</v>
      </c>
      <c r="D35" s="73">
        <v>25</v>
      </c>
      <c r="E35" s="73">
        <v>23</v>
      </c>
      <c r="F35" s="73">
        <v>3</v>
      </c>
      <c r="G35" s="73">
        <v>3</v>
      </c>
      <c r="H35" s="73">
        <v>4</v>
      </c>
      <c r="I35" s="73">
        <v>4</v>
      </c>
      <c r="J35" s="73">
        <v>3</v>
      </c>
      <c r="K35" s="73">
        <v>1</v>
      </c>
      <c r="L35" s="73">
        <v>2</v>
      </c>
      <c r="M35" s="73">
        <v>11</v>
      </c>
      <c r="N35" s="73">
        <v>19</v>
      </c>
      <c r="O35" s="73">
        <v>103</v>
      </c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8"/>
    </row>
    <row r="36" spans="1:26" ht="15" x14ac:dyDescent="0.25">
      <c r="A36" s="76"/>
      <c r="B36" s="73" t="s">
        <v>139</v>
      </c>
      <c r="C36" s="73">
        <v>13.5</v>
      </c>
      <c r="D36" s="73">
        <v>67.5</v>
      </c>
      <c r="E36" s="73">
        <v>62.1</v>
      </c>
      <c r="F36" s="73">
        <v>8.1</v>
      </c>
      <c r="G36" s="73">
        <v>8.1</v>
      </c>
      <c r="H36" s="73">
        <v>10.8</v>
      </c>
      <c r="I36" s="73">
        <v>10.8</v>
      </c>
      <c r="J36" s="73">
        <v>8.1</v>
      </c>
      <c r="K36" s="73">
        <v>2.7</v>
      </c>
      <c r="L36" s="73">
        <v>5.4</v>
      </c>
      <c r="M36" s="73">
        <v>29.7</v>
      </c>
      <c r="N36" s="73">
        <v>51.3</v>
      </c>
      <c r="O36" s="73">
        <v>278.10000000000002</v>
      </c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8"/>
    </row>
    <row r="37" spans="1:26" x14ac:dyDescent="0.2">
      <c r="A37" s="7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8"/>
    </row>
    <row r="38" spans="1:26" ht="15" x14ac:dyDescent="0.25">
      <c r="A38" s="69" t="s">
        <v>120</v>
      </c>
      <c r="B38" s="70" t="s">
        <v>144</v>
      </c>
      <c r="C38" s="70" t="s">
        <v>122</v>
      </c>
      <c r="D38" s="70" t="s">
        <v>123</v>
      </c>
      <c r="E38" s="70" t="s">
        <v>124</v>
      </c>
      <c r="F38" s="70" t="s">
        <v>125</v>
      </c>
      <c r="G38" s="70" t="s">
        <v>126</v>
      </c>
      <c r="H38" s="70" t="s">
        <v>127</v>
      </c>
      <c r="I38" s="70" t="s">
        <v>128</v>
      </c>
      <c r="J38" s="70" t="s">
        <v>129</v>
      </c>
      <c r="K38" s="70" t="s">
        <v>130</v>
      </c>
      <c r="L38" s="70" t="s">
        <v>131</v>
      </c>
      <c r="M38" s="70" t="s">
        <v>132</v>
      </c>
      <c r="N38" s="70" t="s">
        <v>133</v>
      </c>
      <c r="O38" s="70" t="s">
        <v>28</v>
      </c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8"/>
    </row>
    <row r="39" spans="1:26" ht="15" x14ac:dyDescent="0.25">
      <c r="A39" s="69">
        <v>66</v>
      </c>
      <c r="B39" s="70" t="s">
        <v>134</v>
      </c>
      <c r="C39" s="70">
        <v>13</v>
      </c>
      <c r="D39" s="70">
        <v>15</v>
      </c>
      <c r="E39" s="70">
        <v>10</v>
      </c>
      <c r="F39" s="70">
        <v>25</v>
      </c>
      <c r="G39" s="70">
        <v>30</v>
      </c>
      <c r="H39" s="70">
        <v>20</v>
      </c>
      <c r="I39" s="70">
        <v>15</v>
      </c>
      <c r="J39" s="70">
        <v>25</v>
      </c>
      <c r="K39" s="70">
        <v>15</v>
      </c>
      <c r="L39" s="70">
        <v>43</v>
      </c>
      <c r="M39" s="70">
        <v>76</v>
      </c>
      <c r="N39" s="70">
        <v>101</v>
      </c>
      <c r="O39" s="70">
        <v>388</v>
      </c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8"/>
    </row>
    <row r="40" spans="1:26" ht="15" x14ac:dyDescent="0.25">
      <c r="A40" s="76"/>
      <c r="B40" s="73" t="s">
        <v>138</v>
      </c>
      <c r="C40" s="73">
        <v>13</v>
      </c>
      <c r="D40" s="73">
        <v>15</v>
      </c>
      <c r="E40" s="73">
        <v>10</v>
      </c>
      <c r="F40" s="73">
        <v>25</v>
      </c>
      <c r="G40" s="73">
        <v>30</v>
      </c>
      <c r="H40" s="73">
        <v>20</v>
      </c>
      <c r="I40" s="73">
        <v>15</v>
      </c>
      <c r="J40" s="73">
        <v>25</v>
      </c>
      <c r="K40" s="73">
        <v>15</v>
      </c>
      <c r="L40" s="73">
        <v>43</v>
      </c>
      <c r="M40" s="73">
        <v>76</v>
      </c>
      <c r="N40" s="73">
        <v>101</v>
      </c>
      <c r="O40" s="73">
        <v>388</v>
      </c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8"/>
    </row>
    <row r="41" spans="1:26" ht="15" x14ac:dyDescent="0.25">
      <c r="A41" s="76"/>
      <c r="B41" s="73" t="s">
        <v>139</v>
      </c>
      <c r="C41" s="73">
        <v>35.1</v>
      </c>
      <c r="D41" s="73">
        <v>40.5</v>
      </c>
      <c r="E41" s="73">
        <v>27</v>
      </c>
      <c r="F41" s="73">
        <v>67.5</v>
      </c>
      <c r="G41" s="73">
        <v>81</v>
      </c>
      <c r="H41" s="73">
        <v>54</v>
      </c>
      <c r="I41" s="73">
        <v>40.5</v>
      </c>
      <c r="J41" s="73">
        <v>67.5</v>
      </c>
      <c r="K41" s="73">
        <v>40.5</v>
      </c>
      <c r="L41" s="73">
        <v>116.1</v>
      </c>
      <c r="M41" s="73">
        <v>205.2</v>
      </c>
      <c r="N41" s="73">
        <v>272.7</v>
      </c>
      <c r="O41" s="79">
        <v>1047.5999999999999</v>
      </c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8"/>
    </row>
    <row r="42" spans="1:26" x14ac:dyDescent="0.2">
      <c r="A42" s="77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8"/>
    </row>
    <row r="43" spans="1:26" ht="15" x14ac:dyDescent="0.25">
      <c r="A43" s="69" t="s">
        <v>120</v>
      </c>
      <c r="B43" s="70" t="s">
        <v>141</v>
      </c>
      <c r="C43" s="70" t="s">
        <v>122</v>
      </c>
      <c r="D43" s="70" t="s">
        <v>123</v>
      </c>
      <c r="E43" s="70" t="s">
        <v>124</v>
      </c>
      <c r="F43" s="70" t="s">
        <v>125</v>
      </c>
      <c r="G43" s="70" t="s">
        <v>126</v>
      </c>
      <c r="H43" s="70" t="s">
        <v>127</v>
      </c>
      <c r="I43" s="70" t="s">
        <v>128</v>
      </c>
      <c r="J43" s="70" t="s">
        <v>129</v>
      </c>
      <c r="K43" s="70" t="s">
        <v>130</v>
      </c>
      <c r="L43" s="70" t="s">
        <v>131</v>
      </c>
      <c r="M43" s="70" t="s">
        <v>132</v>
      </c>
      <c r="N43" s="70" t="s">
        <v>133</v>
      </c>
      <c r="O43" s="70" t="s">
        <v>28</v>
      </c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8"/>
    </row>
    <row r="44" spans="1:26" ht="15" x14ac:dyDescent="0.25">
      <c r="A44" s="69">
        <v>66</v>
      </c>
      <c r="B44" s="70" t="s">
        <v>134</v>
      </c>
      <c r="C44" s="70">
        <v>10</v>
      </c>
      <c r="D44" s="70">
        <v>5</v>
      </c>
      <c r="E44" s="70">
        <v>15</v>
      </c>
      <c r="F44" s="70">
        <v>5</v>
      </c>
      <c r="G44" s="70">
        <v>5</v>
      </c>
      <c r="H44" s="70">
        <v>5</v>
      </c>
      <c r="I44" s="70">
        <v>5</v>
      </c>
      <c r="J44" s="70">
        <v>10</v>
      </c>
      <c r="K44" s="70">
        <v>10</v>
      </c>
      <c r="L44" s="70">
        <v>15</v>
      </c>
      <c r="M44" s="70">
        <v>10</v>
      </c>
      <c r="N44" s="70">
        <v>10</v>
      </c>
      <c r="O44" s="70">
        <v>105</v>
      </c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8"/>
    </row>
    <row r="45" spans="1:26" ht="15" x14ac:dyDescent="0.25">
      <c r="A45" s="76"/>
      <c r="B45" s="73" t="s">
        <v>138</v>
      </c>
      <c r="C45" s="73">
        <v>10</v>
      </c>
      <c r="D45" s="73">
        <v>5</v>
      </c>
      <c r="E45" s="73">
        <v>15</v>
      </c>
      <c r="F45" s="73">
        <v>5</v>
      </c>
      <c r="G45" s="73">
        <v>5</v>
      </c>
      <c r="H45" s="73">
        <v>5</v>
      </c>
      <c r="I45" s="73">
        <v>5</v>
      </c>
      <c r="J45" s="73">
        <v>10</v>
      </c>
      <c r="K45" s="73">
        <v>10</v>
      </c>
      <c r="L45" s="73">
        <v>15</v>
      </c>
      <c r="M45" s="73">
        <v>10</v>
      </c>
      <c r="N45" s="73">
        <v>10</v>
      </c>
      <c r="O45" s="73">
        <v>105</v>
      </c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8"/>
    </row>
    <row r="46" spans="1:26" ht="15" x14ac:dyDescent="0.25">
      <c r="A46" s="76"/>
      <c r="B46" s="73" t="s">
        <v>139</v>
      </c>
      <c r="C46" s="73">
        <v>27</v>
      </c>
      <c r="D46" s="73">
        <v>13.5</v>
      </c>
      <c r="E46" s="73">
        <v>40.5</v>
      </c>
      <c r="F46" s="73">
        <v>13.5</v>
      </c>
      <c r="G46" s="73">
        <v>13.5</v>
      </c>
      <c r="H46" s="73">
        <v>13.5</v>
      </c>
      <c r="I46" s="73">
        <v>13.5</v>
      </c>
      <c r="J46" s="73">
        <v>27</v>
      </c>
      <c r="K46" s="73">
        <v>27</v>
      </c>
      <c r="L46" s="73">
        <v>40.5</v>
      </c>
      <c r="M46" s="73">
        <v>27</v>
      </c>
      <c r="N46" s="73">
        <v>27</v>
      </c>
      <c r="O46" s="73">
        <v>283.5</v>
      </c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8"/>
    </row>
    <row r="47" spans="1:26" x14ac:dyDescent="0.2">
      <c r="A47" s="77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8"/>
    </row>
    <row r="48" spans="1:26" ht="15" x14ac:dyDescent="0.25">
      <c r="A48" s="69" t="s">
        <v>120</v>
      </c>
      <c r="B48" s="70" t="s">
        <v>142</v>
      </c>
      <c r="C48" s="70" t="s">
        <v>122</v>
      </c>
      <c r="D48" s="70" t="s">
        <v>123</v>
      </c>
      <c r="E48" s="70" t="s">
        <v>124</v>
      </c>
      <c r="F48" s="70" t="s">
        <v>125</v>
      </c>
      <c r="G48" s="70" t="s">
        <v>126</v>
      </c>
      <c r="H48" s="70" t="s">
        <v>127</v>
      </c>
      <c r="I48" s="70" t="s">
        <v>128</v>
      </c>
      <c r="J48" s="70" t="s">
        <v>129</v>
      </c>
      <c r="K48" s="70" t="s">
        <v>130</v>
      </c>
      <c r="L48" s="70" t="s">
        <v>131</v>
      </c>
      <c r="M48" s="70" t="s">
        <v>132</v>
      </c>
      <c r="N48" s="70" t="s">
        <v>133</v>
      </c>
      <c r="O48" s="70" t="s">
        <v>28</v>
      </c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8"/>
    </row>
    <row r="49" spans="1:26" ht="15" x14ac:dyDescent="0.25">
      <c r="A49" s="69">
        <v>66</v>
      </c>
      <c r="B49" s="70" t="s">
        <v>134</v>
      </c>
      <c r="C49" s="70">
        <v>10</v>
      </c>
      <c r="D49" s="70">
        <v>15</v>
      </c>
      <c r="E49" s="70">
        <v>15</v>
      </c>
      <c r="F49" s="70">
        <v>10</v>
      </c>
      <c r="G49" s="70">
        <v>10</v>
      </c>
      <c r="H49" s="70">
        <v>10</v>
      </c>
      <c r="I49" s="70">
        <v>15</v>
      </c>
      <c r="J49" s="70">
        <v>25</v>
      </c>
      <c r="K49" s="70">
        <v>25</v>
      </c>
      <c r="L49" s="70">
        <v>10</v>
      </c>
      <c r="M49" s="70">
        <v>15</v>
      </c>
      <c r="N49" s="70">
        <v>10</v>
      </c>
      <c r="O49" s="70">
        <v>170</v>
      </c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8"/>
    </row>
    <row r="50" spans="1:26" ht="15" x14ac:dyDescent="0.25">
      <c r="A50" s="76"/>
      <c r="B50" s="73" t="s">
        <v>138</v>
      </c>
      <c r="C50" s="73">
        <v>10</v>
      </c>
      <c r="D50" s="73">
        <v>15</v>
      </c>
      <c r="E50" s="73">
        <v>15</v>
      </c>
      <c r="F50" s="73">
        <v>10</v>
      </c>
      <c r="G50" s="73">
        <v>10</v>
      </c>
      <c r="H50" s="73">
        <v>10</v>
      </c>
      <c r="I50" s="73">
        <v>15</v>
      </c>
      <c r="J50" s="73">
        <v>25</v>
      </c>
      <c r="K50" s="73">
        <v>25</v>
      </c>
      <c r="L50" s="73">
        <v>10</v>
      </c>
      <c r="M50" s="73">
        <v>15</v>
      </c>
      <c r="N50" s="73">
        <v>10</v>
      </c>
      <c r="O50" s="73">
        <v>170</v>
      </c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8"/>
    </row>
    <row r="51" spans="1:26" ht="15" x14ac:dyDescent="0.25">
      <c r="A51" s="76"/>
      <c r="B51" s="73" t="s">
        <v>139</v>
      </c>
      <c r="C51" s="73">
        <v>27</v>
      </c>
      <c r="D51" s="73">
        <v>40.5</v>
      </c>
      <c r="E51" s="73">
        <v>40.5</v>
      </c>
      <c r="F51" s="73">
        <v>27</v>
      </c>
      <c r="G51" s="73">
        <v>27</v>
      </c>
      <c r="H51" s="73">
        <v>27</v>
      </c>
      <c r="I51" s="73">
        <v>40.5</v>
      </c>
      <c r="J51" s="73">
        <v>67.5</v>
      </c>
      <c r="K51" s="73">
        <v>67.5</v>
      </c>
      <c r="L51" s="73">
        <v>27</v>
      </c>
      <c r="M51" s="73">
        <v>40.5</v>
      </c>
      <c r="N51" s="73">
        <v>27</v>
      </c>
      <c r="O51" s="73">
        <v>459</v>
      </c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8"/>
    </row>
    <row r="52" spans="1:26" x14ac:dyDescent="0.2">
      <c r="A52" s="77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8"/>
    </row>
    <row r="53" spans="1:26" ht="15" x14ac:dyDescent="0.25">
      <c r="A53" s="69" t="s">
        <v>120</v>
      </c>
      <c r="B53" s="70" t="s">
        <v>143</v>
      </c>
      <c r="C53" s="70" t="s">
        <v>122</v>
      </c>
      <c r="D53" s="70" t="s">
        <v>123</v>
      </c>
      <c r="E53" s="70" t="s">
        <v>124</v>
      </c>
      <c r="F53" s="70" t="s">
        <v>125</v>
      </c>
      <c r="G53" s="70" t="s">
        <v>126</v>
      </c>
      <c r="H53" s="70" t="s">
        <v>127</v>
      </c>
      <c r="I53" s="70" t="s">
        <v>128</v>
      </c>
      <c r="J53" s="70" t="s">
        <v>129</v>
      </c>
      <c r="K53" s="70" t="s">
        <v>130</v>
      </c>
      <c r="L53" s="70" t="s">
        <v>131</v>
      </c>
      <c r="M53" s="70" t="s">
        <v>132</v>
      </c>
      <c r="N53" s="70" t="s">
        <v>133</v>
      </c>
      <c r="O53" s="70" t="s">
        <v>28</v>
      </c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8"/>
    </row>
    <row r="54" spans="1:26" ht="15" x14ac:dyDescent="0.25">
      <c r="A54" s="69">
        <v>66</v>
      </c>
      <c r="B54" s="70" t="s">
        <v>134</v>
      </c>
      <c r="C54" s="70">
        <v>1</v>
      </c>
      <c r="D54" s="70">
        <v>0</v>
      </c>
      <c r="E54" s="70">
        <v>1</v>
      </c>
      <c r="F54" s="70">
        <v>0</v>
      </c>
      <c r="G54" s="70">
        <v>1</v>
      </c>
      <c r="H54" s="70">
        <v>0</v>
      </c>
      <c r="I54" s="70">
        <v>1</v>
      </c>
      <c r="J54" s="70">
        <v>0</v>
      </c>
      <c r="K54" s="70">
        <v>1</v>
      </c>
      <c r="L54" s="70">
        <v>0</v>
      </c>
      <c r="M54" s="70">
        <v>1</v>
      </c>
      <c r="N54" s="70">
        <v>0</v>
      </c>
      <c r="O54" s="70">
        <v>6</v>
      </c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8"/>
    </row>
    <row r="55" spans="1:26" ht="15" x14ac:dyDescent="0.25">
      <c r="A55" s="76"/>
      <c r="B55" s="73" t="s">
        <v>138</v>
      </c>
      <c r="C55" s="73">
        <v>1</v>
      </c>
      <c r="D55" s="73">
        <v>0</v>
      </c>
      <c r="E55" s="73">
        <v>1</v>
      </c>
      <c r="F55" s="73">
        <v>0</v>
      </c>
      <c r="G55" s="73">
        <v>1</v>
      </c>
      <c r="H55" s="73">
        <v>0</v>
      </c>
      <c r="I55" s="73">
        <v>1</v>
      </c>
      <c r="J55" s="73">
        <v>0</v>
      </c>
      <c r="K55" s="73">
        <v>1</v>
      </c>
      <c r="L55" s="73">
        <v>0</v>
      </c>
      <c r="M55" s="73">
        <v>1</v>
      </c>
      <c r="N55" s="73">
        <v>0</v>
      </c>
      <c r="O55" s="73">
        <v>6</v>
      </c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8"/>
    </row>
    <row r="56" spans="1:26" ht="15" x14ac:dyDescent="0.25">
      <c r="A56" s="76"/>
      <c r="B56" s="73" t="s">
        <v>139</v>
      </c>
      <c r="C56" s="73">
        <v>2.7</v>
      </c>
      <c r="D56" s="73">
        <v>0</v>
      </c>
      <c r="E56" s="73">
        <v>2.7</v>
      </c>
      <c r="F56" s="73">
        <v>0</v>
      </c>
      <c r="G56" s="73">
        <v>2.7</v>
      </c>
      <c r="H56" s="73">
        <v>0</v>
      </c>
      <c r="I56" s="73">
        <v>2.7</v>
      </c>
      <c r="J56" s="73">
        <v>0</v>
      </c>
      <c r="K56" s="73">
        <v>2.7</v>
      </c>
      <c r="L56" s="73">
        <v>0</v>
      </c>
      <c r="M56" s="73">
        <v>2.7</v>
      </c>
      <c r="N56" s="73">
        <v>0</v>
      </c>
      <c r="O56" s="73">
        <v>16.2</v>
      </c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8"/>
    </row>
    <row r="57" spans="1:26" x14ac:dyDescent="0.2">
      <c r="A57" s="67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8"/>
    </row>
    <row r="58" spans="1:26" ht="15" x14ac:dyDescent="0.25">
      <c r="A58" s="80" t="s">
        <v>120</v>
      </c>
      <c r="B58" s="81" t="s">
        <v>144</v>
      </c>
      <c r="C58" s="81" t="s">
        <v>122</v>
      </c>
      <c r="D58" s="81" t="s">
        <v>123</v>
      </c>
      <c r="E58" s="81" t="s">
        <v>124</v>
      </c>
      <c r="F58" s="81" t="s">
        <v>125</v>
      </c>
      <c r="G58" s="81" t="s">
        <v>126</v>
      </c>
      <c r="H58" s="81" t="s">
        <v>127</v>
      </c>
      <c r="I58" s="81" t="s">
        <v>128</v>
      </c>
      <c r="J58" s="81" t="s">
        <v>129</v>
      </c>
      <c r="K58" s="81" t="s">
        <v>130</v>
      </c>
      <c r="L58" s="81" t="s">
        <v>131</v>
      </c>
      <c r="M58" s="81" t="s">
        <v>132</v>
      </c>
      <c r="N58" s="81" t="s">
        <v>133</v>
      </c>
      <c r="O58" s="81" t="s">
        <v>28</v>
      </c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8"/>
    </row>
    <row r="59" spans="1:26" ht="14.25" x14ac:dyDescent="0.2">
      <c r="A59" s="82">
        <v>67</v>
      </c>
      <c r="B59" s="81" t="s">
        <v>134</v>
      </c>
      <c r="C59" s="81">
        <v>2</v>
      </c>
      <c r="D59" s="81">
        <v>7</v>
      </c>
      <c r="E59" s="81">
        <v>5</v>
      </c>
      <c r="F59" s="81">
        <v>4</v>
      </c>
      <c r="G59" s="81">
        <v>5</v>
      </c>
      <c r="H59" s="83">
        <v>6</v>
      </c>
      <c r="I59" s="83">
        <v>5</v>
      </c>
      <c r="J59" s="83">
        <v>7</v>
      </c>
      <c r="K59" s="83">
        <v>5</v>
      </c>
      <c r="L59" s="83">
        <v>8</v>
      </c>
      <c r="M59" s="83">
        <v>7</v>
      </c>
      <c r="N59" s="83">
        <v>8</v>
      </c>
      <c r="O59" s="81">
        <f>SUM(C59:N59)</f>
        <v>69</v>
      </c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8"/>
    </row>
    <row r="60" spans="1:26" ht="14.25" x14ac:dyDescent="0.2">
      <c r="A60" s="84"/>
      <c r="B60" s="81" t="s">
        <v>135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1">
        <v>0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8"/>
    </row>
    <row r="61" spans="1:26" ht="14.25" x14ac:dyDescent="0.2">
      <c r="A61" s="84"/>
      <c r="B61" s="81" t="s">
        <v>136</v>
      </c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1">
        <v>0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8"/>
    </row>
    <row r="62" spans="1:26" ht="14.25" x14ac:dyDescent="0.2">
      <c r="A62" s="85"/>
      <c r="B62" s="81" t="s">
        <v>137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1">
        <v>0</v>
      </c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8"/>
    </row>
    <row r="63" spans="1:26" ht="15" x14ac:dyDescent="0.25">
      <c r="A63" s="86"/>
      <c r="B63" s="87" t="s">
        <v>138</v>
      </c>
      <c r="C63" s="87">
        <v>2</v>
      </c>
      <c r="D63" s="87">
        <v>7</v>
      </c>
      <c r="E63" s="87">
        <v>5</v>
      </c>
      <c r="F63" s="87">
        <v>4</v>
      </c>
      <c r="G63" s="87">
        <f>G59</f>
        <v>5</v>
      </c>
      <c r="H63" s="87">
        <f t="shared" ref="H63:N63" si="0">H59</f>
        <v>6</v>
      </c>
      <c r="I63" s="87">
        <f t="shared" si="0"/>
        <v>5</v>
      </c>
      <c r="J63" s="87">
        <f t="shared" si="0"/>
        <v>7</v>
      </c>
      <c r="K63" s="87">
        <f t="shared" si="0"/>
        <v>5</v>
      </c>
      <c r="L63" s="87">
        <f t="shared" si="0"/>
        <v>8</v>
      </c>
      <c r="M63" s="87">
        <f t="shared" si="0"/>
        <v>7</v>
      </c>
      <c r="N63" s="87">
        <f t="shared" si="0"/>
        <v>8</v>
      </c>
      <c r="O63" s="87">
        <v>18</v>
      </c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8"/>
    </row>
    <row r="64" spans="1:26" ht="15" x14ac:dyDescent="0.25">
      <c r="A64" s="86"/>
      <c r="B64" s="87" t="s">
        <v>139</v>
      </c>
      <c r="C64" s="87">
        <v>5.4</v>
      </c>
      <c r="D64" s="87">
        <v>18.899999999999999</v>
      </c>
      <c r="E64" s="87">
        <v>13.5</v>
      </c>
      <c r="F64" s="87">
        <v>10.8</v>
      </c>
      <c r="G64" s="87">
        <f>G63*2.7</f>
        <v>13.5</v>
      </c>
      <c r="H64" s="87">
        <f t="shared" ref="H64:N64" si="1">H63*2.7</f>
        <v>16.200000000000003</v>
      </c>
      <c r="I64" s="87">
        <f t="shared" si="1"/>
        <v>13.5</v>
      </c>
      <c r="J64" s="87">
        <f t="shared" si="1"/>
        <v>18.900000000000002</v>
      </c>
      <c r="K64" s="87">
        <f t="shared" si="1"/>
        <v>13.5</v>
      </c>
      <c r="L64" s="87">
        <f t="shared" si="1"/>
        <v>21.6</v>
      </c>
      <c r="M64" s="87">
        <f t="shared" si="1"/>
        <v>18.900000000000002</v>
      </c>
      <c r="N64" s="87">
        <f t="shared" si="1"/>
        <v>21.6</v>
      </c>
      <c r="O64" s="87">
        <v>48.6</v>
      </c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8"/>
    </row>
    <row r="65" spans="1:26" x14ac:dyDescent="0.2">
      <c r="A65" s="88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8"/>
    </row>
    <row r="66" spans="1:26" ht="15" x14ac:dyDescent="0.25">
      <c r="A66" s="80" t="s">
        <v>120</v>
      </c>
      <c r="B66" s="81" t="s">
        <v>140</v>
      </c>
      <c r="C66" s="81" t="s">
        <v>122</v>
      </c>
      <c r="D66" s="81" t="s">
        <v>123</v>
      </c>
      <c r="E66" s="81" t="s">
        <v>124</v>
      </c>
      <c r="F66" s="81" t="s">
        <v>125</v>
      </c>
      <c r="G66" s="81" t="s">
        <v>126</v>
      </c>
      <c r="H66" s="81" t="s">
        <v>127</v>
      </c>
      <c r="I66" s="81" t="s">
        <v>128</v>
      </c>
      <c r="J66" s="81" t="s">
        <v>129</v>
      </c>
      <c r="K66" s="81" t="s">
        <v>130</v>
      </c>
      <c r="L66" s="81" t="s">
        <v>131</v>
      </c>
      <c r="M66" s="81" t="s">
        <v>132</v>
      </c>
      <c r="N66" s="81" t="s">
        <v>133</v>
      </c>
      <c r="O66" s="81" t="s">
        <v>28</v>
      </c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8"/>
    </row>
    <row r="67" spans="1:26" ht="14.25" x14ac:dyDescent="0.2">
      <c r="A67" s="82">
        <v>67</v>
      </c>
      <c r="B67" s="81" t="s">
        <v>134</v>
      </c>
      <c r="C67" s="81">
        <v>52</v>
      </c>
      <c r="D67" s="81">
        <v>57</v>
      </c>
      <c r="E67" s="81">
        <v>53</v>
      </c>
      <c r="F67" s="81">
        <v>30</v>
      </c>
      <c r="G67" s="81">
        <v>56</v>
      </c>
      <c r="H67" s="83">
        <v>37</v>
      </c>
      <c r="I67" s="83">
        <v>25</v>
      </c>
      <c r="J67" s="83">
        <v>25</v>
      </c>
      <c r="K67" s="83">
        <v>30</v>
      </c>
      <c r="L67" s="83">
        <v>35</v>
      </c>
      <c r="M67" s="83">
        <v>35</v>
      </c>
      <c r="N67" s="83">
        <v>27</v>
      </c>
      <c r="O67" s="81">
        <f>SUM(C67:N67)</f>
        <v>462</v>
      </c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8"/>
    </row>
    <row r="68" spans="1:26" ht="15" x14ac:dyDescent="0.25">
      <c r="A68" s="84"/>
      <c r="B68" s="87" t="s">
        <v>138</v>
      </c>
      <c r="C68" s="87">
        <v>52</v>
      </c>
      <c r="D68" s="87">
        <v>57</v>
      </c>
      <c r="E68" s="87">
        <v>53</v>
      </c>
      <c r="F68" s="87">
        <v>30</v>
      </c>
      <c r="G68" s="87">
        <v>56</v>
      </c>
      <c r="H68" s="87">
        <v>37</v>
      </c>
      <c r="I68" s="90">
        <v>25</v>
      </c>
      <c r="J68" s="90">
        <v>25</v>
      </c>
      <c r="K68" s="90">
        <v>30</v>
      </c>
      <c r="L68" s="90">
        <v>35</v>
      </c>
      <c r="M68" s="90">
        <v>35</v>
      </c>
      <c r="N68" s="90">
        <v>27</v>
      </c>
      <c r="O68" s="87">
        <f>SUM(C68:N68)</f>
        <v>462</v>
      </c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8"/>
    </row>
    <row r="69" spans="1:26" ht="15" x14ac:dyDescent="0.25">
      <c r="A69" s="85"/>
      <c r="B69" s="87" t="s">
        <v>139</v>
      </c>
      <c r="C69" s="87">
        <v>140.4</v>
      </c>
      <c r="D69" s="87">
        <v>153.9</v>
      </c>
      <c r="E69" s="87">
        <v>143.1</v>
      </c>
      <c r="F69" s="87">
        <v>81</v>
      </c>
      <c r="G69" s="87">
        <v>151.19999999999999</v>
      </c>
      <c r="H69" s="87">
        <f>H68*2.7</f>
        <v>99.9</v>
      </c>
      <c r="I69" s="87">
        <f t="shared" ref="I69:O69" si="2">I68*2.7</f>
        <v>67.5</v>
      </c>
      <c r="J69" s="87">
        <f t="shared" si="2"/>
        <v>67.5</v>
      </c>
      <c r="K69" s="87">
        <f t="shared" si="2"/>
        <v>81</v>
      </c>
      <c r="L69" s="87">
        <f t="shared" si="2"/>
        <v>94.5</v>
      </c>
      <c r="M69" s="87">
        <f t="shared" si="2"/>
        <v>94.5</v>
      </c>
      <c r="N69" s="87">
        <f t="shared" si="2"/>
        <v>72.900000000000006</v>
      </c>
      <c r="O69" s="87">
        <f t="shared" si="2"/>
        <v>1247.4000000000001</v>
      </c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8"/>
    </row>
    <row r="70" spans="1:26" x14ac:dyDescent="0.2">
      <c r="A70" s="88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8"/>
    </row>
    <row r="71" spans="1:26" ht="15" x14ac:dyDescent="0.25">
      <c r="A71" s="80" t="s">
        <v>120</v>
      </c>
      <c r="B71" s="81" t="s">
        <v>141</v>
      </c>
      <c r="C71" s="81" t="s">
        <v>122</v>
      </c>
      <c r="D71" s="81" t="s">
        <v>123</v>
      </c>
      <c r="E71" s="81" t="s">
        <v>124</v>
      </c>
      <c r="F71" s="81" t="s">
        <v>125</v>
      </c>
      <c r="G71" s="81" t="s">
        <v>126</v>
      </c>
      <c r="H71" s="81" t="s">
        <v>127</v>
      </c>
      <c r="I71" s="81" t="s">
        <v>128</v>
      </c>
      <c r="J71" s="81" t="s">
        <v>129</v>
      </c>
      <c r="K71" s="81" t="s">
        <v>130</v>
      </c>
      <c r="L71" s="81" t="s">
        <v>131</v>
      </c>
      <c r="M71" s="81" t="s">
        <v>132</v>
      </c>
      <c r="N71" s="81" t="s">
        <v>133</v>
      </c>
      <c r="O71" s="81" t="s">
        <v>28</v>
      </c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8"/>
    </row>
    <row r="72" spans="1:26" ht="14.25" x14ac:dyDescent="0.2">
      <c r="A72" s="82">
        <v>67</v>
      </c>
      <c r="B72" s="81" t="s">
        <v>134</v>
      </c>
      <c r="C72" s="81">
        <v>5</v>
      </c>
      <c r="D72" s="81">
        <v>10</v>
      </c>
      <c r="E72" s="81">
        <v>4</v>
      </c>
      <c r="F72" s="83">
        <v>5</v>
      </c>
      <c r="G72" s="81">
        <v>10</v>
      </c>
      <c r="H72" s="83">
        <v>6</v>
      </c>
      <c r="I72" s="83">
        <v>8</v>
      </c>
      <c r="J72" s="83">
        <v>10</v>
      </c>
      <c r="K72" s="83">
        <v>6</v>
      </c>
      <c r="L72" s="83">
        <v>8</v>
      </c>
      <c r="M72" s="83">
        <v>8</v>
      </c>
      <c r="N72" s="83">
        <v>10</v>
      </c>
      <c r="O72" s="81">
        <f>SUM(C72:N72)</f>
        <v>90</v>
      </c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8"/>
    </row>
    <row r="73" spans="1:26" ht="15" x14ac:dyDescent="0.25">
      <c r="A73" s="84"/>
      <c r="B73" s="81" t="s">
        <v>138</v>
      </c>
      <c r="C73" s="87">
        <v>5</v>
      </c>
      <c r="D73" s="87">
        <v>10</v>
      </c>
      <c r="E73" s="87">
        <v>4</v>
      </c>
      <c r="F73" s="87">
        <f>F72</f>
        <v>5</v>
      </c>
      <c r="G73" s="87">
        <f t="shared" ref="G73:J73" si="3">G72</f>
        <v>10</v>
      </c>
      <c r="H73" s="87">
        <f t="shared" si="3"/>
        <v>6</v>
      </c>
      <c r="I73" s="87">
        <f t="shared" si="3"/>
        <v>8</v>
      </c>
      <c r="J73" s="87">
        <f t="shared" si="3"/>
        <v>10</v>
      </c>
      <c r="K73" s="90">
        <v>6</v>
      </c>
      <c r="L73" s="90">
        <v>8</v>
      </c>
      <c r="M73" s="90">
        <v>8</v>
      </c>
      <c r="N73" s="90">
        <v>10</v>
      </c>
      <c r="O73" s="87">
        <f>SUM(C73:N73)</f>
        <v>90</v>
      </c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8"/>
    </row>
    <row r="74" spans="1:26" ht="15" x14ac:dyDescent="0.25">
      <c r="A74" s="85"/>
      <c r="B74" s="87" t="s">
        <v>139</v>
      </c>
      <c r="C74" s="87">
        <v>13.5</v>
      </c>
      <c r="D74" s="87">
        <v>27</v>
      </c>
      <c r="E74" s="87">
        <v>10.8</v>
      </c>
      <c r="F74" s="87">
        <f>F73*2.7</f>
        <v>13.5</v>
      </c>
      <c r="G74" s="87">
        <f t="shared" ref="G74:N74" si="4">G73*2.7</f>
        <v>27</v>
      </c>
      <c r="H74" s="87">
        <f t="shared" si="4"/>
        <v>16.200000000000003</v>
      </c>
      <c r="I74" s="87">
        <f t="shared" si="4"/>
        <v>21.6</v>
      </c>
      <c r="J74" s="87">
        <f t="shared" si="4"/>
        <v>27</v>
      </c>
      <c r="K74" s="87">
        <f t="shared" si="4"/>
        <v>16.200000000000003</v>
      </c>
      <c r="L74" s="87">
        <f t="shared" si="4"/>
        <v>21.6</v>
      </c>
      <c r="M74" s="87">
        <f t="shared" si="4"/>
        <v>21.6</v>
      </c>
      <c r="N74" s="87">
        <f t="shared" si="4"/>
        <v>27</v>
      </c>
      <c r="O74" s="87">
        <v>51.3</v>
      </c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8"/>
    </row>
    <row r="75" spans="1:26" x14ac:dyDescent="0.2">
      <c r="A75" s="88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8"/>
    </row>
    <row r="76" spans="1:26" ht="15" x14ac:dyDescent="0.25">
      <c r="A76" s="80" t="s">
        <v>120</v>
      </c>
      <c r="B76" s="81" t="s">
        <v>142</v>
      </c>
      <c r="C76" s="81" t="s">
        <v>122</v>
      </c>
      <c r="D76" s="81" t="s">
        <v>123</v>
      </c>
      <c r="E76" s="81" t="s">
        <v>124</v>
      </c>
      <c r="F76" s="81" t="s">
        <v>125</v>
      </c>
      <c r="G76" s="81" t="s">
        <v>126</v>
      </c>
      <c r="H76" s="81" t="s">
        <v>127</v>
      </c>
      <c r="I76" s="81" t="s">
        <v>128</v>
      </c>
      <c r="J76" s="81" t="s">
        <v>129</v>
      </c>
      <c r="K76" s="81" t="s">
        <v>130</v>
      </c>
      <c r="L76" s="81" t="s">
        <v>131</v>
      </c>
      <c r="M76" s="81" t="s">
        <v>132</v>
      </c>
      <c r="N76" s="81" t="s">
        <v>133</v>
      </c>
      <c r="O76" s="81" t="s">
        <v>28</v>
      </c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8"/>
    </row>
    <row r="77" spans="1:26" ht="15" x14ac:dyDescent="0.25">
      <c r="A77" s="82">
        <v>67</v>
      </c>
      <c r="B77" s="81" t="s">
        <v>134</v>
      </c>
      <c r="C77" s="81">
        <v>15</v>
      </c>
      <c r="D77" s="81">
        <v>10</v>
      </c>
      <c r="E77" s="81">
        <v>20</v>
      </c>
      <c r="F77" s="83">
        <v>10</v>
      </c>
      <c r="G77" s="81">
        <v>10</v>
      </c>
      <c r="H77" s="83">
        <v>15</v>
      </c>
      <c r="I77" s="83">
        <v>10</v>
      </c>
      <c r="J77" s="83">
        <v>20</v>
      </c>
      <c r="K77" s="83">
        <v>15</v>
      </c>
      <c r="L77" s="83">
        <v>10</v>
      </c>
      <c r="M77" s="83">
        <v>10</v>
      </c>
      <c r="N77" s="83">
        <v>20</v>
      </c>
      <c r="O77" s="87">
        <f>SUM(C77:N77)</f>
        <v>165</v>
      </c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8"/>
    </row>
    <row r="78" spans="1:26" ht="15" x14ac:dyDescent="0.25">
      <c r="A78" s="84"/>
      <c r="B78" s="87" t="s">
        <v>138</v>
      </c>
      <c r="C78" s="87">
        <v>15</v>
      </c>
      <c r="D78" s="87">
        <v>10</v>
      </c>
      <c r="E78" s="87">
        <v>20</v>
      </c>
      <c r="F78" s="87">
        <f>F77</f>
        <v>10</v>
      </c>
      <c r="G78" s="87">
        <f>G77</f>
        <v>10</v>
      </c>
      <c r="H78" s="87">
        <f t="shared" ref="H78:N78" si="5">H77</f>
        <v>15</v>
      </c>
      <c r="I78" s="87">
        <f t="shared" si="5"/>
        <v>10</v>
      </c>
      <c r="J78" s="87">
        <f t="shared" si="5"/>
        <v>20</v>
      </c>
      <c r="K78" s="87">
        <f t="shared" si="5"/>
        <v>15</v>
      </c>
      <c r="L78" s="87">
        <f t="shared" si="5"/>
        <v>10</v>
      </c>
      <c r="M78" s="87">
        <f t="shared" si="5"/>
        <v>10</v>
      </c>
      <c r="N78" s="87">
        <f t="shared" si="5"/>
        <v>20</v>
      </c>
      <c r="O78" s="87">
        <f>SUM(C78:N78)</f>
        <v>165</v>
      </c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8"/>
    </row>
    <row r="79" spans="1:26" ht="15" x14ac:dyDescent="0.25">
      <c r="A79" s="85"/>
      <c r="B79" s="87" t="s">
        <v>139</v>
      </c>
      <c r="C79" s="87">
        <v>40.5</v>
      </c>
      <c r="D79" s="87">
        <v>27</v>
      </c>
      <c r="E79" s="87">
        <v>54</v>
      </c>
      <c r="F79" s="87">
        <f>F78*2.7</f>
        <v>27</v>
      </c>
      <c r="G79" s="87">
        <f t="shared" ref="G79:O79" si="6">G78*2.7</f>
        <v>27</v>
      </c>
      <c r="H79" s="87">
        <f t="shared" si="6"/>
        <v>40.5</v>
      </c>
      <c r="I79" s="87">
        <f t="shared" si="6"/>
        <v>27</v>
      </c>
      <c r="J79" s="87">
        <f t="shared" si="6"/>
        <v>54</v>
      </c>
      <c r="K79" s="87">
        <f t="shared" si="6"/>
        <v>40.5</v>
      </c>
      <c r="L79" s="87">
        <f t="shared" si="6"/>
        <v>27</v>
      </c>
      <c r="M79" s="87">
        <f t="shared" si="6"/>
        <v>27</v>
      </c>
      <c r="N79" s="87">
        <f t="shared" si="6"/>
        <v>54</v>
      </c>
      <c r="O79" s="87">
        <f t="shared" si="6"/>
        <v>445.50000000000006</v>
      </c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8"/>
    </row>
    <row r="80" spans="1:26" x14ac:dyDescent="0.2">
      <c r="A80" s="88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8"/>
    </row>
    <row r="81" spans="1:26" ht="15" x14ac:dyDescent="0.25">
      <c r="A81" s="80" t="s">
        <v>120</v>
      </c>
      <c r="B81" s="81" t="s">
        <v>143</v>
      </c>
      <c r="C81" s="81" t="s">
        <v>122</v>
      </c>
      <c r="D81" s="81" t="s">
        <v>123</v>
      </c>
      <c r="E81" s="81" t="s">
        <v>124</v>
      </c>
      <c r="F81" s="81" t="s">
        <v>125</v>
      </c>
      <c r="G81" s="81" t="s">
        <v>126</v>
      </c>
      <c r="H81" s="81" t="s">
        <v>127</v>
      </c>
      <c r="I81" s="81" t="s">
        <v>128</v>
      </c>
      <c r="J81" s="81" t="s">
        <v>129</v>
      </c>
      <c r="K81" s="81" t="s">
        <v>130</v>
      </c>
      <c r="L81" s="81" t="s">
        <v>131</v>
      </c>
      <c r="M81" s="81" t="s">
        <v>132</v>
      </c>
      <c r="N81" s="81" t="s">
        <v>133</v>
      </c>
      <c r="O81" s="81" t="s">
        <v>28</v>
      </c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8"/>
    </row>
    <row r="82" spans="1:26" ht="15" x14ac:dyDescent="0.25">
      <c r="A82" s="82">
        <v>67</v>
      </c>
      <c r="B82" s="81" t="s">
        <v>134</v>
      </c>
      <c r="C82" s="81">
        <v>1</v>
      </c>
      <c r="D82" s="81">
        <v>0</v>
      </c>
      <c r="E82" s="81">
        <v>1</v>
      </c>
      <c r="F82" s="81">
        <v>0</v>
      </c>
      <c r="G82" s="83">
        <v>1</v>
      </c>
      <c r="H82" s="81">
        <v>0</v>
      </c>
      <c r="I82" s="83">
        <v>1</v>
      </c>
      <c r="J82" s="81">
        <v>0</v>
      </c>
      <c r="K82" s="83">
        <v>1</v>
      </c>
      <c r="L82" s="81">
        <v>0</v>
      </c>
      <c r="M82" s="83">
        <v>1</v>
      </c>
      <c r="N82" s="81">
        <v>0</v>
      </c>
      <c r="O82" s="87">
        <f>SUM(C82:N82)</f>
        <v>6</v>
      </c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8"/>
    </row>
    <row r="83" spans="1:26" ht="15" x14ac:dyDescent="0.25">
      <c r="A83" s="84"/>
      <c r="B83" s="87" t="s">
        <v>138</v>
      </c>
      <c r="C83" s="87">
        <v>1</v>
      </c>
      <c r="D83" s="87">
        <v>0</v>
      </c>
      <c r="E83" s="87">
        <v>1</v>
      </c>
      <c r="F83" s="87">
        <f>F82</f>
        <v>0</v>
      </c>
      <c r="G83" s="87">
        <f t="shared" ref="G83:N83" si="7">G82</f>
        <v>1</v>
      </c>
      <c r="H83" s="87">
        <f t="shared" si="7"/>
        <v>0</v>
      </c>
      <c r="I83" s="87">
        <f t="shared" si="7"/>
        <v>1</v>
      </c>
      <c r="J83" s="87">
        <f t="shared" si="7"/>
        <v>0</v>
      </c>
      <c r="K83" s="87">
        <f t="shared" si="7"/>
        <v>1</v>
      </c>
      <c r="L83" s="87">
        <f t="shared" si="7"/>
        <v>0</v>
      </c>
      <c r="M83" s="87">
        <f t="shared" si="7"/>
        <v>1</v>
      </c>
      <c r="N83" s="87">
        <f t="shared" si="7"/>
        <v>0</v>
      </c>
      <c r="O83" s="87">
        <f>SUM(C83:N83)</f>
        <v>6</v>
      </c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8"/>
    </row>
    <row r="84" spans="1:26" ht="15" x14ac:dyDescent="0.25">
      <c r="A84" s="85"/>
      <c r="B84" s="87" t="s">
        <v>139</v>
      </c>
      <c r="C84" s="87">
        <v>2.7</v>
      </c>
      <c r="D84" s="87">
        <v>0</v>
      </c>
      <c r="E84" s="87">
        <v>2.7</v>
      </c>
      <c r="F84" s="87">
        <f>F83*2.7</f>
        <v>0</v>
      </c>
      <c r="G84" s="87">
        <f t="shared" ref="G84:O84" si="8">G83*2.7</f>
        <v>2.7</v>
      </c>
      <c r="H84" s="87">
        <f t="shared" si="8"/>
        <v>0</v>
      </c>
      <c r="I84" s="87">
        <f t="shared" si="8"/>
        <v>2.7</v>
      </c>
      <c r="J84" s="87">
        <f t="shared" si="8"/>
        <v>0</v>
      </c>
      <c r="K84" s="87">
        <f t="shared" si="8"/>
        <v>2.7</v>
      </c>
      <c r="L84" s="87">
        <f t="shared" si="8"/>
        <v>0</v>
      </c>
      <c r="M84" s="87">
        <f t="shared" si="8"/>
        <v>2.7</v>
      </c>
      <c r="N84" s="87">
        <f t="shared" si="8"/>
        <v>0</v>
      </c>
      <c r="O84" s="87">
        <f t="shared" si="8"/>
        <v>16.200000000000003</v>
      </c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8"/>
    </row>
    <row r="85" spans="1:26" x14ac:dyDescent="0.2">
      <c r="A85" s="67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8"/>
    </row>
    <row r="86" spans="1:26" ht="15" x14ac:dyDescent="0.25">
      <c r="A86" s="80" t="s">
        <v>120</v>
      </c>
      <c r="B86" s="81" t="s">
        <v>28</v>
      </c>
      <c r="C86" s="81" t="s">
        <v>122</v>
      </c>
      <c r="D86" s="81" t="s">
        <v>123</v>
      </c>
      <c r="E86" s="81" t="s">
        <v>124</v>
      </c>
      <c r="F86" s="81" t="s">
        <v>125</v>
      </c>
      <c r="G86" s="81" t="s">
        <v>126</v>
      </c>
      <c r="H86" s="81" t="s">
        <v>127</v>
      </c>
      <c r="I86" s="81" t="s">
        <v>128</v>
      </c>
      <c r="J86" s="81" t="s">
        <v>129</v>
      </c>
      <c r="K86" s="81" t="s">
        <v>130</v>
      </c>
      <c r="L86" s="81" t="s">
        <v>131</v>
      </c>
      <c r="M86" s="81" t="s">
        <v>132</v>
      </c>
      <c r="N86" s="81" t="s">
        <v>133</v>
      </c>
      <c r="O86" s="81" t="s">
        <v>28</v>
      </c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8"/>
    </row>
    <row r="87" spans="1:26" ht="14.25" x14ac:dyDescent="0.2">
      <c r="A87" s="82">
        <v>67</v>
      </c>
      <c r="B87" s="81" t="s">
        <v>145</v>
      </c>
      <c r="C87" s="81">
        <v>75</v>
      </c>
      <c r="D87" s="81">
        <v>84</v>
      </c>
      <c r="E87" s="81">
        <v>83</v>
      </c>
      <c r="F87" s="81">
        <v>34</v>
      </c>
      <c r="G87" s="81">
        <v>56</v>
      </c>
      <c r="H87" s="81">
        <f>H63+H68+H73+H78+H83</f>
        <v>64</v>
      </c>
      <c r="I87" s="81">
        <f t="shared" ref="I87:N87" si="9">I63+I68+I73+I78+I83</f>
        <v>49</v>
      </c>
      <c r="J87" s="81">
        <f t="shared" si="9"/>
        <v>62</v>
      </c>
      <c r="K87" s="81">
        <f t="shared" si="9"/>
        <v>57</v>
      </c>
      <c r="L87" s="81">
        <f t="shared" si="9"/>
        <v>61</v>
      </c>
      <c r="M87" s="81">
        <f t="shared" si="9"/>
        <v>61</v>
      </c>
      <c r="N87" s="81">
        <f t="shared" si="9"/>
        <v>65</v>
      </c>
      <c r="O87" s="81">
        <f>SUM(C87:N87)</f>
        <v>751</v>
      </c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8"/>
    </row>
    <row r="88" spans="1:26" ht="15" x14ac:dyDescent="0.25">
      <c r="A88" s="85"/>
      <c r="B88" s="87" t="s">
        <v>139</v>
      </c>
      <c r="C88" s="87">
        <v>202.5</v>
      </c>
      <c r="D88" s="87">
        <v>226.8</v>
      </c>
      <c r="E88" s="87">
        <v>224.1</v>
      </c>
      <c r="F88" s="87">
        <v>91.8</v>
      </c>
      <c r="G88" s="87">
        <v>151.19999999999999</v>
      </c>
      <c r="H88" s="87">
        <f>H87*2.7</f>
        <v>172.8</v>
      </c>
      <c r="I88" s="87">
        <f t="shared" ref="I88:N88" si="10">I87*2.7</f>
        <v>132.30000000000001</v>
      </c>
      <c r="J88" s="87">
        <f t="shared" si="10"/>
        <v>167.4</v>
      </c>
      <c r="K88" s="87">
        <f t="shared" si="10"/>
        <v>153.9</v>
      </c>
      <c r="L88" s="87">
        <f t="shared" si="10"/>
        <v>164.70000000000002</v>
      </c>
      <c r="M88" s="87">
        <f t="shared" si="10"/>
        <v>164.70000000000002</v>
      </c>
      <c r="N88" s="87">
        <f t="shared" si="10"/>
        <v>175.5</v>
      </c>
      <c r="O88" s="87">
        <v>896.4</v>
      </c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8"/>
    </row>
    <row r="89" spans="1:26" ht="13.5" thickBot="1" x14ac:dyDescent="0.25">
      <c r="A89" s="91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8"/>
    </row>
    <row r="90" spans="1:26" ht="15" x14ac:dyDescent="0.25">
      <c r="A90" s="93" t="s">
        <v>120</v>
      </c>
      <c r="B90" s="94" t="s">
        <v>146</v>
      </c>
      <c r="C90" s="95" t="s">
        <v>122</v>
      </c>
      <c r="D90" s="95" t="s">
        <v>123</v>
      </c>
      <c r="E90" s="95" t="s">
        <v>124</v>
      </c>
      <c r="F90" s="95" t="s">
        <v>125</v>
      </c>
      <c r="G90" s="95" t="s">
        <v>126</v>
      </c>
      <c r="H90" s="95" t="s">
        <v>127</v>
      </c>
      <c r="I90" s="95" t="s">
        <v>128</v>
      </c>
      <c r="J90" s="95" t="s">
        <v>129</v>
      </c>
      <c r="K90" s="95" t="s">
        <v>130</v>
      </c>
      <c r="L90" s="95" t="s">
        <v>131</v>
      </c>
      <c r="M90" s="95" t="s">
        <v>132</v>
      </c>
      <c r="N90" s="95" t="s">
        <v>133</v>
      </c>
      <c r="O90" s="96" t="s">
        <v>28</v>
      </c>
      <c r="P90" s="97"/>
      <c r="Q90" s="57"/>
      <c r="R90" s="57"/>
      <c r="S90" s="57"/>
      <c r="T90" s="57"/>
      <c r="U90" s="57"/>
      <c r="V90" s="57"/>
      <c r="W90" s="57"/>
      <c r="X90" s="57"/>
      <c r="Y90" s="57"/>
      <c r="Z90" s="58"/>
    </row>
    <row r="91" spans="1:26" ht="14.25" customHeight="1" x14ac:dyDescent="0.25">
      <c r="A91" s="98">
        <v>68</v>
      </c>
      <c r="B91" s="99"/>
      <c r="C91" s="100">
        <v>18</v>
      </c>
      <c r="D91" s="100">
        <v>22</v>
      </c>
      <c r="E91" s="100">
        <v>30</v>
      </c>
      <c r="F91" s="100">
        <v>10</v>
      </c>
      <c r="G91" s="100">
        <v>14</v>
      </c>
      <c r="H91" s="101">
        <v>15</v>
      </c>
      <c r="I91" s="101">
        <v>21</v>
      </c>
      <c r="J91" s="101">
        <v>20</v>
      </c>
      <c r="K91" s="101">
        <v>30</v>
      </c>
      <c r="L91" s="101">
        <v>13</v>
      </c>
      <c r="M91" s="101">
        <v>16</v>
      </c>
      <c r="N91" s="101">
        <v>13</v>
      </c>
      <c r="O91" s="102"/>
      <c r="P91" s="97"/>
      <c r="Q91" s="57"/>
      <c r="R91" s="57"/>
      <c r="S91" s="57"/>
      <c r="T91" s="57"/>
      <c r="U91" s="57"/>
      <c r="V91" s="57"/>
      <c r="W91" s="57"/>
      <c r="X91" s="57"/>
      <c r="Y91" s="57"/>
      <c r="Z91" s="58"/>
    </row>
    <row r="92" spans="1:26" ht="15" x14ac:dyDescent="0.25">
      <c r="A92" s="103"/>
      <c r="B92" s="104" t="s">
        <v>139</v>
      </c>
      <c r="C92" s="104">
        <f>C91*2.7</f>
        <v>48.6</v>
      </c>
      <c r="D92" s="104">
        <f t="shared" ref="D92:O92" si="11">D91*2.7</f>
        <v>59.400000000000006</v>
      </c>
      <c r="E92" s="104">
        <f t="shared" si="11"/>
        <v>81</v>
      </c>
      <c r="F92" s="104">
        <f t="shared" si="11"/>
        <v>27</v>
      </c>
      <c r="G92" s="104">
        <f t="shared" si="11"/>
        <v>37.800000000000004</v>
      </c>
      <c r="H92" s="104">
        <f t="shared" si="11"/>
        <v>40.5</v>
      </c>
      <c r="I92" s="104">
        <f t="shared" si="11"/>
        <v>56.7</v>
      </c>
      <c r="J92" s="104">
        <f t="shared" si="11"/>
        <v>54</v>
      </c>
      <c r="K92" s="104">
        <f t="shared" si="11"/>
        <v>81</v>
      </c>
      <c r="L92" s="104">
        <f t="shared" si="11"/>
        <v>35.1</v>
      </c>
      <c r="M92" s="104">
        <f t="shared" si="11"/>
        <v>43.2</v>
      </c>
      <c r="N92" s="104">
        <f t="shared" si="11"/>
        <v>35.1</v>
      </c>
      <c r="O92" s="105">
        <f t="shared" si="11"/>
        <v>0</v>
      </c>
      <c r="P92" s="97"/>
      <c r="Q92" s="57"/>
      <c r="R92" s="57"/>
      <c r="S92" s="57"/>
      <c r="T92" s="57"/>
      <c r="U92" s="57"/>
      <c r="V92" s="57"/>
      <c r="W92" s="57"/>
      <c r="X92" s="57"/>
      <c r="Y92" s="57"/>
      <c r="Z92" s="58"/>
    </row>
    <row r="93" spans="1:26" x14ac:dyDescent="0.2">
      <c r="A93" s="106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8"/>
      <c r="P93" s="97"/>
      <c r="Q93" s="57"/>
      <c r="R93" s="57"/>
      <c r="S93" s="57"/>
      <c r="T93" s="57"/>
      <c r="U93" s="57"/>
      <c r="V93" s="57"/>
      <c r="W93" s="57"/>
      <c r="X93" s="57"/>
      <c r="Y93" s="57"/>
      <c r="Z93" s="58"/>
    </row>
    <row r="94" spans="1:26" ht="15" x14ac:dyDescent="0.25">
      <c r="A94" s="109" t="s">
        <v>120</v>
      </c>
      <c r="B94" s="110" t="s">
        <v>140</v>
      </c>
      <c r="C94" s="111" t="s">
        <v>122</v>
      </c>
      <c r="D94" s="111" t="s">
        <v>123</v>
      </c>
      <c r="E94" s="111" t="s">
        <v>124</v>
      </c>
      <c r="F94" s="111" t="s">
        <v>125</v>
      </c>
      <c r="G94" s="111" t="s">
        <v>126</v>
      </c>
      <c r="H94" s="111" t="s">
        <v>127</v>
      </c>
      <c r="I94" s="111" t="s">
        <v>128</v>
      </c>
      <c r="J94" s="111" t="s">
        <v>129</v>
      </c>
      <c r="K94" s="111" t="s">
        <v>130</v>
      </c>
      <c r="L94" s="111" t="s">
        <v>131</v>
      </c>
      <c r="M94" s="111" t="s">
        <v>132</v>
      </c>
      <c r="N94" s="111" t="s">
        <v>133</v>
      </c>
      <c r="O94" s="112" t="s">
        <v>28</v>
      </c>
      <c r="P94" s="97"/>
      <c r="Q94" s="57"/>
      <c r="R94" s="57"/>
      <c r="S94" s="57"/>
      <c r="T94" s="57"/>
      <c r="U94" s="57"/>
      <c r="V94" s="57"/>
      <c r="W94" s="57"/>
      <c r="X94" s="57"/>
      <c r="Y94" s="57"/>
      <c r="Z94" s="58"/>
    </row>
    <row r="95" spans="1:26" ht="15" x14ac:dyDescent="0.25">
      <c r="A95" s="98">
        <v>68</v>
      </c>
      <c r="B95" s="99"/>
      <c r="C95" s="100">
        <v>35</v>
      </c>
      <c r="D95" s="100">
        <v>30</v>
      </c>
      <c r="E95" s="100">
        <v>42</v>
      </c>
      <c r="F95" s="100">
        <v>46</v>
      </c>
      <c r="G95" s="100">
        <v>17</v>
      </c>
      <c r="H95" s="101">
        <v>40</v>
      </c>
      <c r="I95" s="101">
        <v>21</v>
      </c>
      <c r="J95" s="101">
        <v>30</v>
      </c>
      <c r="K95" s="101">
        <v>20</v>
      </c>
      <c r="L95" s="101">
        <v>21</v>
      </c>
      <c r="M95" s="101">
        <v>48</v>
      </c>
      <c r="N95" s="101">
        <v>31</v>
      </c>
      <c r="O95" s="102"/>
      <c r="P95" s="97"/>
      <c r="Q95" s="57"/>
      <c r="R95" s="57"/>
      <c r="S95" s="57"/>
      <c r="T95" s="57"/>
      <c r="U95" s="57"/>
      <c r="V95" s="57"/>
      <c r="W95" s="57"/>
      <c r="X95" s="57"/>
      <c r="Y95" s="57"/>
      <c r="Z95" s="58"/>
    </row>
    <row r="96" spans="1:26" ht="15" x14ac:dyDescent="0.25">
      <c r="A96" s="103"/>
      <c r="B96" s="104" t="s">
        <v>139</v>
      </c>
      <c r="C96" s="104">
        <f>C95*2.7</f>
        <v>94.5</v>
      </c>
      <c r="D96" s="104">
        <f t="shared" ref="D96:O96" si="12">D95*2.7</f>
        <v>81</v>
      </c>
      <c r="E96" s="104">
        <f t="shared" si="12"/>
        <v>113.4</v>
      </c>
      <c r="F96" s="104">
        <f t="shared" si="12"/>
        <v>124.2</v>
      </c>
      <c r="G96" s="104">
        <f t="shared" si="12"/>
        <v>45.900000000000006</v>
      </c>
      <c r="H96" s="104">
        <f t="shared" si="12"/>
        <v>108</v>
      </c>
      <c r="I96" s="104">
        <f t="shared" si="12"/>
        <v>56.7</v>
      </c>
      <c r="J96" s="104">
        <f t="shared" si="12"/>
        <v>81</v>
      </c>
      <c r="K96" s="104">
        <f t="shared" si="12"/>
        <v>54</v>
      </c>
      <c r="L96" s="104">
        <f t="shared" si="12"/>
        <v>56.7</v>
      </c>
      <c r="M96" s="104">
        <f t="shared" si="12"/>
        <v>129.60000000000002</v>
      </c>
      <c r="N96" s="104">
        <f t="shared" si="12"/>
        <v>83.7</v>
      </c>
      <c r="O96" s="105">
        <f t="shared" si="12"/>
        <v>0</v>
      </c>
      <c r="P96" s="97"/>
      <c r="Q96" s="57"/>
      <c r="R96" s="57"/>
      <c r="S96" s="57"/>
      <c r="T96" s="57"/>
      <c r="U96" s="57"/>
      <c r="V96" s="57"/>
      <c r="W96" s="57"/>
      <c r="X96" s="57"/>
      <c r="Y96" s="57"/>
      <c r="Z96" s="58"/>
    </row>
    <row r="97" spans="1:26" x14ac:dyDescent="0.2">
      <c r="A97" s="106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8"/>
      <c r="P97" s="97"/>
      <c r="Q97" s="57"/>
      <c r="R97" s="57"/>
      <c r="S97" s="57"/>
      <c r="T97" s="57"/>
      <c r="U97" s="57"/>
      <c r="V97" s="57"/>
      <c r="W97" s="57"/>
      <c r="X97" s="57"/>
      <c r="Y97" s="57"/>
      <c r="Z97" s="58"/>
    </row>
    <row r="98" spans="1:26" ht="15" x14ac:dyDescent="0.25">
      <c r="A98" s="109" t="s">
        <v>120</v>
      </c>
      <c r="B98" s="110" t="s">
        <v>141</v>
      </c>
      <c r="C98" s="111" t="s">
        <v>122</v>
      </c>
      <c r="D98" s="111" t="s">
        <v>123</v>
      </c>
      <c r="E98" s="111" t="s">
        <v>124</v>
      </c>
      <c r="F98" s="111" t="s">
        <v>125</v>
      </c>
      <c r="G98" s="111" t="s">
        <v>126</v>
      </c>
      <c r="H98" s="111" t="s">
        <v>127</v>
      </c>
      <c r="I98" s="111" t="s">
        <v>128</v>
      </c>
      <c r="J98" s="111" t="s">
        <v>129</v>
      </c>
      <c r="K98" s="111" t="s">
        <v>130</v>
      </c>
      <c r="L98" s="111" t="s">
        <v>131</v>
      </c>
      <c r="M98" s="111" t="s">
        <v>132</v>
      </c>
      <c r="N98" s="111" t="s">
        <v>133</v>
      </c>
      <c r="O98" s="112" t="s">
        <v>28</v>
      </c>
      <c r="P98" s="97"/>
      <c r="Q98" s="57"/>
      <c r="R98" s="57"/>
      <c r="S98" s="57"/>
      <c r="T98" s="57"/>
      <c r="U98" s="57"/>
      <c r="V98" s="57"/>
      <c r="W98" s="57"/>
      <c r="X98" s="57"/>
      <c r="Y98" s="57"/>
      <c r="Z98" s="58"/>
    </row>
    <row r="99" spans="1:26" ht="14.25" x14ac:dyDescent="0.2">
      <c r="A99" s="113">
        <v>68</v>
      </c>
      <c r="B99" s="99"/>
      <c r="C99" s="100">
        <v>3</v>
      </c>
      <c r="D99" s="100">
        <v>2</v>
      </c>
      <c r="E99" s="100">
        <v>2</v>
      </c>
      <c r="F99" s="101">
        <v>4</v>
      </c>
      <c r="G99" s="100">
        <v>7</v>
      </c>
      <c r="H99" s="101">
        <v>5</v>
      </c>
      <c r="I99" s="101">
        <v>3</v>
      </c>
      <c r="J99" s="101">
        <v>8</v>
      </c>
      <c r="K99" s="101">
        <v>9</v>
      </c>
      <c r="L99" s="101">
        <v>5</v>
      </c>
      <c r="M99" s="101">
        <v>4</v>
      </c>
      <c r="N99" s="101">
        <v>5</v>
      </c>
      <c r="O99" s="102"/>
      <c r="P99" s="97"/>
      <c r="Q99" s="57"/>
      <c r="R99" s="57"/>
      <c r="S99" s="57"/>
      <c r="T99" s="57"/>
      <c r="U99" s="57"/>
      <c r="V99" s="57"/>
      <c r="W99" s="57"/>
      <c r="X99" s="57"/>
      <c r="Y99" s="57"/>
      <c r="Z99" s="58"/>
    </row>
    <row r="100" spans="1:26" ht="15" x14ac:dyDescent="0.25">
      <c r="A100" s="114"/>
      <c r="B100" s="104" t="s">
        <v>139</v>
      </c>
      <c r="C100" s="104">
        <f>C99*2.7</f>
        <v>8.1000000000000014</v>
      </c>
      <c r="D100" s="104">
        <f t="shared" ref="D100:O100" si="13">D99*2.7</f>
        <v>5.4</v>
      </c>
      <c r="E100" s="104">
        <f t="shared" si="13"/>
        <v>5.4</v>
      </c>
      <c r="F100" s="104">
        <f t="shared" si="13"/>
        <v>10.8</v>
      </c>
      <c r="G100" s="104">
        <f t="shared" si="13"/>
        <v>18.900000000000002</v>
      </c>
      <c r="H100" s="104">
        <f t="shared" si="13"/>
        <v>13.5</v>
      </c>
      <c r="I100" s="104">
        <f t="shared" si="13"/>
        <v>8.1000000000000014</v>
      </c>
      <c r="J100" s="104">
        <f t="shared" si="13"/>
        <v>21.6</v>
      </c>
      <c r="K100" s="104">
        <f t="shared" si="13"/>
        <v>24.3</v>
      </c>
      <c r="L100" s="104">
        <f t="shared" si="13"/>
        <v>13.5</v>
      </c>
      <c r="M100" s="104">
        <f t="shared" si="13"/>
        <v>10.8</v>
      </c>
      <c r="N100" s="104">
        <f t="shared" si="13"/>
        <v>13.5</v>
      </c>
      <c r="O100" s="105">
        <f t="shared" si="13"/>
        <v>0</v>
      </c>
      <c r="P100" s="97"/>
      <c r="Q100" s="57"/>
      <c r="R100" s="57"/>
      <c r="S100" s="57"/>
      <c r="T100" s="57"/>
      <c r="U100" s="57"/>
      <c r="V100" s="57"/>
      <c r="W100" s="57"/>
      <c r="X100" s="57"/>
      <c r="Y100" s="57"/>
      <c r="Z100" s="58"/>
    </row>
    <row r="101" spans="1:26" x14ac:dyDescent="0.2">
      <c r="A101" s="106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8"/>
      <c r="P101" s="97"/>
      <c r="Q101" s="57"/>
      <c r="R101" s="57"/>
      <c r="S101" s="57"/>
      <c r="T101" s="57"/>
      <c r="U101" s="57"/>
      <c r="V101" s="57"/>
      <c r="W101" s="57"/>
      <c r="X101" s="57"/>
      <c r="Y101" s="57"/>
      <c r="Z101" s="58"/>
    </row>
    <row r="102" spans="1:26" ht="15" x14ac:dyDescent="0.25">
      <c r="A102" s="109" t="s">
        <v>120</v>
      </c>
      <c r="B102" s="110" t="s">
        <v>147</v>
      </c>
      <c r="C102" s="111" t="s">
        <v>122</v>
      </c>
      <c r="D102" s="111" t="s">
        <v>123</v>
      </c>
      <c r="E102" s="111" t="s">
        <v>124</v>
      </c>
      <c r="F102" s="111" t="s">
        <v>125</v>
      </c>
      <c r="G102" s="111" t="s">
        <v>126</v>
      </c>
      <c r="H102" s="111" t="s">
        <v>127</v>
      </c>
      <c r="I102" s="111" t="s">
        <v>128</v>
      </c>
      <c r="J102" s="111" t="s">
        <v>129</v>
      </c>
      <c r="K102" s="111" t="s">
        <v>130</v>
      </c>
      <c r="L102" s="111" t="s">
        <v>131</v>
      </c>
      <c r="M102" s="111" t="s">
        <v>132</v>
      </c>
      <c r="N102" s="111" t="s">
        <v>133</v>
      </c>
      <c r="O102" s="112" t="s">
        <v>28</v>
      </c>
      <c r="P102" s="97"/>
      <c r="Q102" s="57"/>
      <c r="R102" s="57"/>
      <c r="S102" s="57"/>
      <c r="T102" s="57"/>
      <c r="U102" s="57"/>
      <c r="V102" s="57"/>
      <c r="W102" s="57"/>
      <c r="X102" s="57"/>
      <c r="Y102" s="57"/>
      <c r="Z102" s="58"/>
    </row>
    <row r="103" spans="1:26" ht="15" x14ac:dyDescent="0.25">
      <c r="A103" s="113">
        <v>68</v>
      </c>
      <c r="B103" s="99"/>
      <c r="C103" s="100">
        <v>16</v>
      </c>
      <c r="D103" s="100">
        <v>11</v>
      </c>
      <c r="E103" s="100">
        <v>17</v>
      </c>
      <c r="F103" s="101">
        <v>10</v>
      </c>
      <c r="G103" s="100">
        <v>9</v>
      </c>
      <c r="H103" s="101">
        <v>8</v>
      </c>
      <c r="I103" s="101">
        <v>14</v>
      </c>
      <c r="J103" s="101">
        <v>18.5</v>
      </c>
      <c r="K103" s="101">
        <v>14.5</v>
      </c>
      <c r="L103" s="101">
        <v>13</v>
      </c>
      <c r="M103" s="101">
        <v>11</v>
      </c>
      <c r="N103" s="101">
        <v>12</v>
      </c>
      <c r="O103" s="115"/>
      <c r="P103" s="97"/>
      <c r="Q103" s="57"/>
      <c r="R103" s="57"/>
      <c r="S103" s="57"/>
      <c r="T103" s="57"/>
      <c r="U103" s="57"/>
      <c r="V103" s="57"/>
      <c r="W103" s="57"/>
      <c r="X103" s="57"/>
      <c r="Y103" s="57"/>
      <c r="Z103" s="58"/>
    </row>
    <row r="104" spans="1:26" ht="15" x14ac:dyDescent="0.25">
      <c r="A104" s="114"/>
      <c r="B104" s="104" t="s">
        <v>139</v>
      </c>
      <c r="C104" s="104">
        <f>C103*2.7</f>
        <v>43.2</v>
      </c>
      <c r="D104" s="104">
        <f t="shared" ref="D104:N104" si="14">D103*2.7</f>
        <v>29.700000000000003</v>
      </c>
      <c r="E104" s="104">
        <f t="shared" si="14"/>
        <v>45.900000000000006</v>
      </c>
      <c r="F104" s="104">
        <f t="shared" si="14"/>
        <v>27</v>
      </c>
      <c r="G104" s="104">
        <f t="shared" si="14"/>
        <v>24.3</v>
      </c>
      <c r="H104" s="104">
        <f t="shared" si="14"/>
        <v>21.6</v>
      </c>
      <c r="I104" s="104">
        <f t="shared" si="14"/>
        <v>37.800000000000004</v>
      </c>
      <c r="J104" s="104">
        <f t="shared" si="14"/>
        <v>49.95</v>
      </c>
      <c r="K104" s="104">
        <f t="shared" si="14"/>
        <v>39.150000000000006</v>
      </c>
      <c r="L104" s="104">
        <f t="shared" si="14"/>
        <v>35.1</v>
      </c>
      <c r="M104" s="104">
        <f t="shared" si="14"/>
        <v>29.700000000000003</v>
      </c>
      <c r="N104" s="104">
        <f t="shared" si="14"/>
        <v>32.400000000000006</v>
      </c>
      <c r="O104" s="105">
        <f>O103*2.7</f>
        <v>0</v>
      </c>
      <c r="P104" s="97"/>
      <c r="Q104" s="57"/>
      <c r="R104" s="57"/>
      <c r="S104" s="57"/>
      <c r="T104" s="57"/>
      <c r="U104" s="57"/>
      <c r="V104" s="57"/>
      <c r="W104" s="57"/>
      <c r="X104" s="57"/>
      <c r="Y104" s="57"/>
      <c r="Z104" s="58"/>
    </row>
    <row r="105" spans="1:26" x14ac:dyDescent="0.2">
      <c r="A105" s="106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8"/>
      <c r="P105" s="97"/>
      <c r="Q105" s="57"/>
      <c r="R105" s="57"/>
      <c r="S105" s="57"/>
      <c r="T105" s="57"/>
      <c r="U105" s="57"/>
      <c r="V105" s="57"/>
      <c r="W105" s="57"/>
      <c r="X105" s="57"/>
      <c r="Y105" s="57"/>
      <c r="Z105" s="58"/>
    </row>
    <row r="106" spans="1:26" x14ac:dyDescent="0.2">
      <c r="A106" s="106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8"/>
      <c r="P106" s="97"/>
      <c r="Q106" s="57"/>
      <c r="R106" s="57"/>
      <c r="S106" s="57"/>
      <c r="T106" s="57"/>
      <c r="U106" s="57"/>
      <c r="V106" s="57"/>
      <c r="W106" s="57"/>
      <c r="X106" s="57"/>
      <c r="Y106" s="57"/>
      <c r="Z106" s="58"/>
    </row>
    <row r="107" spans="1:26" ht="15" x14ac:dyDescent="0.25">
      <c r="A107" s="109" t="s">
        <v>120</v>
      </c>
      <c r="B107" s="116" t="s">
        <v>28</v>
      </c>
      <c r="C107" s="111" t="s">
        <v>122</v>
      </c>
      <c r="D107" s="111" t="s">
        <v>123</v>
      </c>
      <c r="E107" s="111" t="s">
        <v>124</v>
      </c>
      <c r="F107" s="111" t="s">
        <v>125</v>
      </c>
      <c r="G107" s="111" t="s">
        <v>126</v>
      </c>
      <c r="H107" s="111" t="s">
        <v>127</v>
      </c>
      <c r="I107" s="111" t="s">
        <v>128</v>
      </c>
      <c r="J107" s="111" t="s">
        <v>129</v>
      </c>
      <c r="K107" s="111" t="s">
        <v>130</v>
      </c>
      <c r="L107" s="111" t="s">
        <v>131</v>
      </c>
      <c r="M107" s="111" t="s">
        <v>132</v>
      </c>
      <c r="N107" s="111" t="s">
        <v>133</v>
      </c>
      <c r="O107" s="112" t="s">
        <v>28</v>
      </c>
      <c r="P107" s="97"/>
      <c r="Q107" s="57"/>
      <c r="R107" s="57"/>
      <c r="S107" s="57"/>
      <c r="T107" s="57"/>
      <c r="U107" s="57"/>
      <c r="V107" s="57"/>
      <c r="W107" s="57"/>
      <c r="X107" s="57"/>
      <c r="Y107" s="57"/>
      <c r="Z107" s="58"/>
    </row>
    <row r="108" spans="1:26" ht="15.75" thickBot="1" x14ac:dyDescent="0.3">
      <c r="A108" s="117"/>
      <c r="B108" s="118" t="s">
        <v>139</v>
      </c>
      <c r="C108" s="118">
        <f>C92+C96+C100+C104</f>
        <v>194.39999999999998</v>
      </c>
      <c r="D108" s="118">
        <f t="shared" ref="D108:O108" si="15">D92+D96+D100+D104</f>
        <v>175.5</v>
      </c>
      <c r="E108" s="118">
        <f t="shared" si="15"/>
        <v>245.70000000000002</v>
      </c>
      <c r="F108" s="118">
        <f t="shared" si="15"/>
        <v>189</v>
      </c>
      <c r="G108" s="118">
        <f t="shared" si="15"/>
        <v>126.90000000000002</v>
      </c>
      <c r="H108" s="118">
        <f t="shared" si="15"/>
        <v>183.6</v>
      </c>
      <c r="I108" s="118">
        <f t="shared" si="15"/>
        <v>159.30000000000001</v>
      </c>
      <c r="J108" s="118">
        <f t="shared" si="15"/>
        <v>206.55</v>
      </c>
      <c r="K108" s="118">
        <f t="shared" si="15"/>
        <v>198.45000000000002</v>
      </c>
      <c r="L108" s="118">
        <f t="shared" si="15"/>
        <v>140.4</v>
      </c>
      <c r="M108" s="118">
        <f t="shared" si="15"/>
        <v>213.3</v>
      </c>
      <c r="N108" s="118">
        <f t="shared" si="15"/>
        <v>164.70000000000002</v>
      </c>
      <c r="O108" s="119">
        <f t="shared" si="15"/>
        <v>0</v>
      </c>
      <c r="P108" s="97"/>
      <c r="Q108" s="57"/>
      <c r="R108" s="57"/>
      <c r="S108" s="57"/>
      <c r="T108" s="57"/>
      <c r="U108" s="57"/>
      <c r="V108" s="57"/>
      <c r="W108" s="57"/>
      <c r="X108" s="57"/>
      <c r="Y108" s="57"/>
      <c r="Z108" s="58"/>
    </row>
    <row r="109" spans="1:26" ht="13.5" thickBot="1" x14ac:dyDescent="0.25">
      <c r="A109" s="120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8"/>
    </row>
    <row r="110" spans="1:26" ht="15" x14ac:dyDescent="0.25">
      <c r="A110" s="122" t="s">
        <v>120</v>
      </c>
      <c r="B110" s="123" t="s">
        <v>146</v>
      </c>
      <c r="C110" s="124" t="s">
        <v>122</v>
      </c>
      <c r="D110" s="124" t="s">
        <v>123</v>
      </c>
      <c r="E110" s="124" t="s">
        <v>124</v>
      </c>
      <c r="F110" s="124" t="s">
        <v>125</v>
      </c>
      <c r="G110" s="124" t="s">
        <v>126</v>
      </c>
      <c r="H110" s="124" t="s">
        <v>127</v>
      </c>
      <c r="I110" s="124" t="s">
        <v>128</v>
      </c>
      <c r="J110" s="124" t="s">
        <v>129</v>
      </c>
      <c r="K110" s="124" t="s">
        <v>130</v>
      </c>
      <c r="L110" s="124" t="s">
        <v>131</v>
      </c>
      <c r="M110" s="124" t="s">
        <v>132</v>
      </c>
      <c r="N110" s="124" t="s">
        <v>133</v>
      </c>
      <c r="O110" s="125" t="s">
        <v>28</v>
      </c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8"/>
    </row>
    <row r="111" spans="1:26" ht="15" x14ac:dyDescent="0.25">
      <c r="A111" s="126">
        <v>69</v>
      </c>
      <c r="B111" s="127"/>
      <c r="C111" s="128">
        <v>5.25</v>
      </c>
      <c r="D111" s="128">
        <v>9.43</v>
      </c>
      <c r="E111" s="128">
        <v>10.71</v>
      </c>
      <c r="F111" s="128">
        <v>1.93</v>
      </c>
      <c r="G111" s="128">
        <v>25.15</v>
      </c>
      <c r="H111" s="129"/>
      <c r="I111" s="129"/>
      <c r="J111" s="129"/>
      <c r="K111" s="129"/>
      <c r="L111" s="129"/>
      <c r="M111" s="129"/>
      <c r="N111" s="129"/>
      <c r="O111" s="130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8"/>
    </row>
    <row r="112" spans="1:26" ht="15" x14ac:dyDescent="0.25">
      <c r="A112" s="131"/>
      <c r="B112" s="132" t="s">
        <v>139</v>
      </c>
      <c r="C112" s="132">
        <f>C111*2.7</f>
        <v>14.175000000000001</v>
      </c>
      <c r="D112" s="132">
        <f t="shared" ref="D112:O112" si="16">D111*2.7</f>
        <v>25.461000000000002</v>
      </c>
      <c r="E112" s="132">
        <f t="shared" si="16"/>
        <v>28.917000000000005</v>
      </c>
      <c r="F112" s="132">
        <f t="shared" si="16"/>
        <v>5.2110000000000003</v>
      </c>
      <c r="G112" s="132">
        <f t="shared" si="16"/>
        <v>67.905000000000001</v>
      </c>
      <c r="H112" s="132">
        <f t="shared" si="16"/>
        <v>0</v>
      </c>
      <c r="I112" s="132">
        <f t="shared" si="16"/>
        <v>0</v>
      </c>
      <c r="J112" s="132">
        <f t="shared" si="16"/>
        <v>0</v>
      </c>
      <c r="K112" s="132">
        <f t="shared" si="16"/>
        <v>0</v>
      </c>
      <c r="L112" s="132">
        <f t="shared" si="16"/>
        <v>0</v>
      </c>
      <c r="M112" s="132">
        <f t="shared" si="16"/>
        <v>0</v>
      </c>
      <c r="N112" s="132">
        <f t="shared" si="16"/>
        <v>0</v>
      </c>
      <c r="O112" s="133">
        <f t="shared" si="16"/>
        <v>0</v>
      </c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8"/>
    </row>
    <row r="113" spans="1:26" x14ac:dyDescent="0.2">
      <c r="A113" s="134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6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8"/>
    </row>
    <row r="114" spans="1:26" ht="15" x14ac:dyDescent="0.25">
      <c r="A114" s="137" t="s">
        <v>120</v>
      </c>
      <c r="B114" s="138" t="s">
        <v>140</v>
      </c>
      <c r="C114" s="139" t="s">
        <v>122</v>
      </c>
      <c r="D114" s="139" t="s">
        <v>123</v>
      </c>
      <c r="E114" s="139" t="s">
        <v>124</v>
      </c>
      <c r="F114" s="139" t="s">
        <v>125</v>
      </c>
      <c r="G114" s="139" t="s">
        <v>126</v>
      </c>
      <c r="H114" s="139" t="s">
        <v>127</v>
      </c>
      <c r="I114" s="139" t="s">
        <v>128</v>
      </c>
      <c r="J114" s="139" t="s">
        <v>129</v>
      </c>
      <c r="K114" s="139" t="s">
        <v>130</v>
      </c>
      <c r="L114" s="139" t="s">
        <v>131</v>
      </c>
      <c r="M114" s="139" t="s">
        <v>132</v>
      </c>
      <c r="N114" s="139" t="s">
        <v>133</v>
      </c>
      <c r="O114" s="140" t="s">
        <v>28</v>
      </c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8"/>
    </row>
    <row r="115" spans="1:26" ht="15" x14ac:dyDescent="0.25">
      <c r="A115" s="126">
        <v>69</v>
      </c>
      <c r="B115" s="127"/>
      <c r="C115" s="128"/>
      <c r="D115" s="128"/>
      <c r="E115" s="128"/>
      <c r="F115" s="128"/>
      <c r="G115" s="128"/>
      <c r="H115" s="129"/>
      <c r="I115" s="129"/>
      <c r="J115" s="129"/>
      <c r="K115" s="129"/>
      <c r="L115" s="129"/>
      <c r="M115" s="129"/>
      <c r="N115" s="129"/>
      <c r="O115" s="130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8"/>
    </row>
    <row r="116" spans="1:26" ht="15" x14ac:dyDescent="0.25">
      <c r="A116" s="131"/>
      <c r="B116" s="132" t="s">
        <v>139</v>
      </c>
      <c r="C116" s="132">
        <f>C115*2.7</f>
        <v>0</v>
      </c>
      <c r="D116" s="132">
        <f t="shared" ref="D116:O116" si="17">D115*2.7</f>
        <v>0</v>
      </c>
      <c r="E116" s="132">
        <f t="shared" si="17"/>
        <v>0</v>
      </c>
      <c r="F116" s="132">
        <f t="shared" si="17"/>
        <v>0</v>
      </c>
      <c r="G116" s="132">
        <f t="shared" si="17"/>
        <v>0</v>
      </c>
      <c r="H116" s="132">
        <f t="shared" si="17"/>
        <v>0</v>
      </c>
      <c r="I116" s="132">
        <f t="shared" si="17"/>
        <v>0</v>
      </c>
      <c r="J116" s="132">
        <f t="shared" si="17"/>
        <v>0</v>
      </c>
      <c r="K116" s="132">
        <f t="shared" si="17"/>
        <v>0</v>
      </c>
      <c r="L116" s="132">
        <f t="shared" si="17"/>
        <v>0</v>
      </c>
      <c r="M116" s="132">
        <f t="shared" si="17"/>
        <v>0</v>
      </c>
      <c r="N116" s="132">
        <f t="shared" si="17"/>
        <v>0</v>
      </c>
      <c r="O116" s="133">
        <f t="shared" si="17"/>
        <v>0</v>
      </c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8"/>
    </row>
    <row r="117" spans="1:26" x14ac:dyDescent="0.2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6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8"/>
    </row>
    <row r="118" spans="1:26" ht="15" x14ac:dyDescent="0.25">
      <c r="A118" s="137" t="s">
        <v>120</v>
      </c>
      <c r="B118" s="138" t="s">
        <v>141</v>
      </c>
      <c r="C118" s="139" t="s">
        <v>122</v>
      </c>
      <c r="D118" s="139" t="s">
        <v>123</v>
      </c>
      <c r="E118" s="139" t="s">
        <v>124</v>
      </c>
      <c r="F118" s="139" t="s">
        <v>125</v>
      </c>
      <c r="G118" s="139" t="s">
        <v>126</v>
      </c>
      <c r="H118" s="139" t="s">
        <v>127</v>
      </c>
      <c r="I118" s="139" t="s">
        <v>128</v>
      </c>
      <c r="J118" s="139" t="s">
        <v>129</v>
      </c>
      <c r="K118" s="139" t="s">
        <v>130</v>
      </c>
      <c r="L118" s="139" t="s">
        <v>131</v>
      </c>
      <c r="M118" s="139" t="s">
        <v>132</v>
      </c>
      <c r="N118" s="139" t="s">
        <v>133</v>
      </c>
      <c r="O118" s="140" t="s">
        <v>28</v>
      </c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8"/>
    </row>
    <row r="119" spans="1:26" ht="14.25" x14ac:dyDescent="0.2">
      <c r="A119" s="141">
        <v>69</v>
      </c>
      <c r="B119" s="127"/>
      <c r="C119" s="128"/>
      <c r="D119" s="128"/>
      <c r="E119" s="128"/>
      <c r="F119" s="129"/>
      <c r="G119" s="128"/>
      <c r="H119" s="129"/>
      <c r="I119" s="129"/>
      <c r="J119" s="129"/>
      <c r="K119" s="129"/>
      <c r="L119" s="129"/>
      <c r="M119" s="129"/>
      <c r="N119" s="129"/>
      <c r="O119" s="130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8"/>
    </row>
    <row r="120" spans="1:26" ht="15" x14ac:dyDescent="0.25">
      <c r="A120" s="142"/>
      <c r="B120" s="132" t="s">
        <v>139</v>
      </c>
      <c r="C120" s="132">
        <f>C119*2.7</f>
        <v>0</v>
      </c>
      <c r="D120" s="132">
        <f t="shared" ref="D120:O120" si="18">D119*2.7</f>
        <v>0</v>
      </c>
      <c r="E120" s="132">
        <f t="shared" si="18"/>
        <v>0</v>
      </c>
      <c r="F120" s="132">
        <f t="shared" si="18"/>
        <v>0</v>
      </c>
      <c r="G120" s="132">
        <f t="shared" si="18"/>
        <v>0</v>
      </c>
      <c r="H120" s="132">
        <f t="shared" si="18"/>
        <v>0</v>
      </c>
      <c r="I120" s="132">
        <f t="shared" si="18"/>
        <v>0</v>
      </c>
      <c r="J120" s="132">
        <f t="shared" si="18"/>
        <v>0</v>
      </c>
      <c r="K120" s="132">
        <f t="shared" si="18"/>
        <v>0</v>
      </c>
      <c r="L120" s="132">
        <f t="shared" si="18"/>
        <v>0</v>
      </c>
      <c r="M120" s="132">
        <f t="shared" si="18"/>
        <v>0</v>
      </c>
      <c r="N120" s="132">
        <f t="shared" si="18"/>
        <v>0</v>
      </c>
      <c r="O120" s="133">
        <f t="shared" si="18"/>
        <v>0</v>
      </c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8"/>
    </row>
    <row r="121" spans="1:26" x14ac:dyDescent="0.2">
      <c r="A121" s="134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6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8"/>
    </row>
    <row r="122" spans="1:26" ht="15" x14ac:dyDescent="0.25">
      <c r="A122" s="137" t="s">
        <v>120</v>
      </c>
      <c r="B122" s="138" t="s">
        <v>147</v>
      </c>
      <c r="C122" s="139" t="s">
        <v>122</v>
      </c>
      <c r="D122" s="139" t="s">
        <v>123</v>
      </c>
      <c r="E122" s="139" t="s">
        <v>124</v>
      </c>
      <c r="F122" s="139" t="s">
        <v>125</v>
      </c>
      <c r="G122" s="139" t="s">
        <v>126</v>
      </c>
      <c r="H122" s="139" t="s">
        <v>127</v>
      </c>
      <c r="I122" s="139" t="s">
        <v>128</v>
      </c>
      <c r="J122" s="139" t="s">
        <v>129</v>
      </c>
      <c r="K122" s="139" t="s">
        <v>130</v>
      </c>
      <c r="L122" s="139" t="s">
        <v>131</v>
      </c>
      <c r="M122" s="139" t="s">
        <v>132</v>
      </c>
      <c r="N122" s="139" t="s">
        <v>133</v>
      </c>
      <c r="O122" s="140" t="s">
        <v>28</v>
      </c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8"/>
    </row>
    <row r="123" spans="1:26" ht="15" x14ac:dyDescent="0.25">
      <c r="A123" s="141">
        <v>69</v>
      </c>
      <c r="B123" s="127"/>
      <c r="C123" s="128">
        <v>14</v>
      </c>
      <c r="D123" s="128"/>
      <c r="E123" s="128"/>
      <c r="F123" s="129"/>
      <c r="G123" s="128"/>
      <c r="H123" s="129"/>
      <c r="I123" s="129"/>
      <c r="J123" s="129"/>
      <c r="K123" s="129"/>
      <c r="L123" s="129"/>
      <c r="M123" s="129"/>
      <c r="N123" s="129"/>
      <c r="O123" s="143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8"/>
    </row>
    <row r="124" spans="1:26" ht="15" x14ac:dyDescent="0.25">
      <c r="A124" s="142"/>
      <c r="B124" s="132" t="s">
        <v>139</v>
      </c>
      <c r="C124" s="132">
        <f>C123*2.7</f>
        <v>37.800000000000004</v>
      </c>
      <c r="D124" s="132">
        <f t="shared" ref="D124:N124" si="19">D123*2.7</f>
        <v>0</v>
      </c>
      <c r="E124" s="132">
        <f t="shared" si="19"/>
        <v>0</v>
      </c>
      <c r="F124" s="132">
        <f t="shared" si="19"/>
        <v>0</v>
      </c>
      <c r="G124" s="132">
        <f t="shared" si="19"/>
        <v>0</v>
      </c>
      <c r="H124" s="132">
        <f t="shared" si="19"/>
        <v>0</v>
      </c>
      <c r="I124" s="132">
        <f t="shared" si="19"/>
        <v>0</v>
      </c>
      <c r="J124" s="132">
        <f t="shared" si="19"/>
        <v>0</v>
      </c>
      <c r="K124" s="132">
        <f t="shared" si="19"/>
        <v>0</v>
      </c>
      <c r="L124" s="132">
        <f t="shared" si="19"/>
        <v>0</v>
      </c>
      <c r="M124" s="132">
        <f t="shared" si="19"/>
        <v>0</v>
      </c>
      <c r="N124" s="132">
        <f t="shared" si="19"/>
        <v>0</v>
      </c>
      <c r="O124" s="133">
        <f>O123*2.7</f>
        <v>0</v>
      </c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8"/>
    </row>
    <row r="125" spans="1:26" x14ac:dyDescent="0.2">
      <c r="A125" s="134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6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8"/>
    </row>
    <row r="126" spans="1:26" x14ac:dyDescent="0.2">
      <c r="A126" s="134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6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8"/>
    </row>
    <row r="127" spans="1:26" ht="15" x14ac:dyDescent="0.25">
      <c r="A127" s="137" t="s">
        <v>120</v>
      </c>
      <c r="B127" s="144" t="s">
        <v>28</v>
      </c>
      <c r="C127" s="139" t="s">
        <v>122</v>
      </c>
      <c r="D127" s="139" t="s">
        <v>123</v>
      </c>
      <c r="E127" s="139" t="s">
        <v>124</v>
      </c>
      <c r="F127" s="139" t="s">
        <v>125</v>
      </c>
      <c r="G127" s="139" t="s">
        <v>126</v>
      </c>
      <c r="H127" s="139" t="s">
        <v>127</v>
      </c>
      <c r="I127" s="139" t="s">
        <v>128</v>
      </c>
      <c r="J127" s="139" t="s">
        <v>129</v>
      </c>
      <c r="K127" s="139" t="s">
        <v>130</v>
      </c>
      <c r="L127" s="139" t="s">
        <v>131</v>
      </c>
      <c r="M127" s="139" t="s">
        <v>132</v>
      </c>
      <c r="N127" s="139" t="s">
        <v>133</v>
      </c>
      <c r="O127" s="140" t="s">
        <v>28</v>
      </c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8"/>
    </row>
    <row r="128" spans="1:26" ht="15.75" thickBot="1" x14ac:dyDescent="0.3">
      <c r="A128" s="145"/>
      <c r="B128" s="146" t="s">
        <v>139</v>
      </c>
      <c r="C128" s="146">
        <f>C112+C116+C120+C124</f>
        <v>51.975000000000009</v>
      </c>
      <c r="D128" s="146">
        <f t="shared" ref="D128:O128" si="20">D112+D116+D120+D124</f>
        <v>25.461000000000002</v>
      </c>
      <c r="E128" s="146">
        <f t="shared" si="20"/>
        <v>28.917000000000005</v>
      </c>
      <c r="F128" s="146">
        <f t="shared" si="20"/>
        <v>5.2110000000000003</v>
      </c>
      <c r="G128" s="146">
        <f t="shared" si="20"/>
        <v>67.905000000000001</v>
      </c>
      <c r="H128" s="146">
        <f t="shared" si="20"/>
        <v>0</v>
      </c>
      <c r="I128" s="146">
        <f t="shared" si="20"/>
        <v>0</v>
      </c>
      <c r="J128" s="146">
        <f t="shared" si="20"/>
        <v>0</v>
      </c>
      <c r="K128" s="146">
        <f t="shared" si="20"/>
        <v>0</v>
      </c>
      <c r="L128" s="146">
        <f t="shared" si="20"/>
        <v>0</v>
      </c>
      <c r="M128" s="146">
        <f t="shared" si="20"/>
        <v>0</v>
      </c>
      <c r="N128" s="146">
        <f t="shared" si="20"/>
        <v>0</v>
      </c>
      <c r="O128" s="147">
        <f t="shared" si="20"/>
        <v>0</v>
      </c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8"/>
    </row>
    <row r="129" spans="1:26" x14ac:dyDescent="0.2">
      <c r="A129" s="148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8"/>
    </row>
    <row r="130" spans="1:26" x14ac:dyDescent="0.2">
      <c r="A130" s="148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8"/>
    </row>
    <row r="131" spans="1:26" x14ac:dyDescent="0.2">
      <c r="A131" s="148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8"/>
    </row>
    <row r="132" spans="1:26" x14ac:dyDescent="0.2">
      <c r="A132" s="148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8"/>
    </row>
    <row r="133" spans="1:26" x14ac:dyDescent="0.2">
      <c r="A133" s="148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8"/>
    </row>
    <row r="134" spans="1:26" x14ac:dyDescent="0.2">
      <c r="A134" s="148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8"/>
    </row>
    <row r="135" spans="1:26" x14ac:dyDescent="0.2">
      <c r="A135" s="148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8"/>
    </row>
    <row r="136" spans="1:26" x14ac:dyDescent="0.2">
      <c r="A136" s="148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8"/>
    </row>
    <row r="137" spans="1:26" x14ac:dyDescent="0.2">
      <c r="A137" s="148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8"/>
    </row>
    <row r="138" spans="1:26" x14ac:dyDescent="0.2">
      <c r="A138" s="148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8"/>
    </row>
    <row r="139" spans="1:26" x14ac:dyDescent="0.2">
      <c r="A139" s="148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8"/>
    </row>
    <row r="140" spans="1:26" x14ac:dyDescent="0.2">
      <c r="A140" s="148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8"/>
    </row>
    <row r="141" spans="1:26" x14ac:dyDescent="0.2">
      <c r="A141" s="148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8"/>
    </row>
    <row r="142" spans="1:26" x14ac:dyDescent="0.2">
      <c r="A142" s="148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8"/>
    </row>
    <row r="143" spans="1:26" x14ac:dyDescent="0.2">
      <c r="A143" s="148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8"/>
    </row>
    <row r="144" spans="1:26" x14ac:dyDescent="0.2">
      <c r="A144" s="148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8"/>
    </row>
    <row r="145" spans="1:26" x14ac:dyDescent="0.2">
      <c r="A145" s="148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8"/>
    </row>
    <row r="146" spans="1:26" x14ac:dyDescent="0.2">
      <c r="A146" s="148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8"/>
    </row>
    <row r="147" spans="1:26" x14ac:dyDescent="0.2">
      <c r="A147" s="148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8"/>
    </row>
    <row r="148" spans="1:26" x14ac:dyDescent="0.2">
      <c r="A148" s="148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8"/>
    </row>
    <row r="149" spans="1:26" x14ac:dyDescent="0.2">
      <c r="A149" s="148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8"/>
    </row>
    <row r="150" spans="1:26" x14ac:dyDescent="0.2">
      <c r="A150" s="148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8"/>
    </row>
    <row r="151" spans="1:26" x14ac:dyDescent="0.2">
      <c r="A151" s="148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8"/>
    </row>
    <row r="152" spans="1:26" x14ac:dyDescent="0.2">
      <c r="A152" s="148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8"/>
    </row>
    <row r="153" spans="1:26" x14ac:dyDescent="0.2">
      <c r="A153" s="148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8"/>
    </row>
    <row r="154" spans="1:26" x14ac:dyDescent="0.2">
      <c r="A154" s="148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8"/>
    </row>
    <row r="155" spans="1:26" x14ac:dyDescent="0.2">
      <c r="A155" s="148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8"/>
    </row>
    <row r="156" spans="1:26" x14ac:dyDescent="0.2">
      <c r="A156" s="148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8"/>
    </row>
    <row r="157" spans="1:26" x14ac:dyDescent="0.2">
      <c r="A157" s="148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8"/>
    </row>
    <row r="158" spans="1:26" x14ac:dyDescent="0.2">
      <c r="A158" s="148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8"/>
    </row>
    <row r="159" spans="1:26" x14ac:dyDescent="0.2">
      <c r="A159" s="148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8"/>
    </row>
    <row r="160" spans="1:26" x14ac:dyDescent="0.2">
      <c r="A160" s="148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8"/>
    </row>
    <row r="161" spans="1:26" x14ac:dyDescent="0.2">
      <c r="A161" s="148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8"/>
    </row>
    <row r="162" spans="1:26" x14ac:dyDescent="0.2">
      <c r="A162" s="148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8"/>
    </row>
    <row r="163" spans="1:26" x14ac:dyDescent="0.2">
      <c r="A163" s="148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8"/>
    </row>
    <row r="164" spans="1:26" x14ac:dyDescent="0.2">
      <c r="A164" s="148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8"/>
    </row>
    <row r="165" spans="1:26" x14ac:dyDescent="0.2">
      <c r="A165" s="148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8"/>
    </row>
    <row r="166" spans="1:26" x14ac:dyDescent="0.2">
      <c r="A166" s="148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8"/>
    </row>
    <row r="167" spans="1:26" x14ac:dyDescent="0.2">
      <c r="A167" s="148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8"/>
    </row>
    <row r="168" spans="1:26" x14ac:dyDescent="0.2">
      <c r="A168" s="148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8"/>
    </row>
    <row r="169" spans="1:26" x14ac:dyDescent="0.2">
      <c r="A169" s="148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8"/>
    </row>
    <row r="170" spans="1:26" x14ac:dyDescent="0.2">
      <c r="A170" s="148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8"/>
    </row>
    <row r="171" spans="1:26" x14ac:dyDescent="0.2">
      <c r="A171" s="148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8"/>
    </row>
    <row r="172" spans="1:26" x14ac:dyDescent="0.2">
      <c r="A172" s="148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8"/>
    </row>
    <row r="173" spans="1:26" x14ac:dyDescent="0.2">
      <c r="A173" s="148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8"/>
    </row>
    <row r="174" spans="1:26" x14ac:dyDescent="0.2">
      <c r="A174" s="148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8"/>
    </row>
    <row r="175" spans="1:26" x14ac:dyDescent="0.2">
      <c r="A175" s="148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8"/>
    </row>
    <row r="176" spans="1:26" x14ac:dyDescent="0.2">
      <c r="A176" s="148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8"/>
    </row>
    <row r="177" spans="1:26" x14ac:dyDescent="0.2">
      <c r="A177" s="148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8"/>
    </row>
    <row r="178" spans="1:26" x14ac:dyDescent="0.2">
      <c r="A178" s="148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8"/>
    </row>
    <row r="179" spans="1:26" x14ac:dyDescent="0.2">
      <c r="A179" s="148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8"/>
    </row>
    <row r="180" spans="1:26" x14ac:dyDescent="0.2">
      <c r="A180" s="148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8"/>
    </row>
    <row r="181" spans="1:26" x14ac:dyDescent="0.2">
      <c r="A181" s="148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8"/>
    </row>
    <row r="182" spans="1:26" x14ac:dyDescent="0.2">
      <c r="A182" s="148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8"/>
    </row>
    <row r="183" spans="1:26" x14ac:dyDescent="0.2">
      <c r="A183" s="148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8"/>
    </row>
    <row r="184" spans="1:26" x14ac:dyDescent="0.2">
      <c r="A184" s="148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8"/>
    </row>
    <row r="185" spans="1:26" x14ac:dyDescent="0.2">
      <c r="A185" s="148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8"/>
    </row>
    <row r="186" spans="1:26" x14ac:dyDescent="0.2">
      <c r="A186" s="148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8"/>
    </row>
    <row r="187" spans="1:26" x14ac:dyDescent="0.2">
      <c r="A187" s="148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8"/>
    </row>
    <row r="188" spans="1:26" x14ac:dyDescent="0.2">
      <c r="A188" s="148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8"/>
    </row>
    <row r="189" spans="1:26" x14ac:dyDescent="0.2">
      <c r="A189" s="148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8"/>
    </row>
    <row r="190" spans="1:26" x14ac:dyDescent="0.2">
      <c r="A190" s="148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8"/>
    </row>
    <row r="191" spans="1:26" x14ac:dyDescent="0.2">
      <c r="A191" s="148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8"/>
    </row>
    <row r="192" spans="1:26" x14ac:dyDescent="0.2">
      <c r="A192" s="148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8"/>
    </row>
    <row r="193" spans="1:26" x14ac:dyDescent="0.2">
      <c r="A193" s="148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8"/>
    </row>
    <row r="194" spans="1:26" x14ac:dyDescent="0.2">
      <c r="A194" s="148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8"/>
    </row>
    <row r="195" spans="1:26" x14ac:dyDescent="0.2">
      <c r="A195" s="148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8"/>
    </row>
    <row r="196" spans="1:26" x14ac:dyDescent="0.2">
      <c r="A196" s="148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8"/>
    </row>
    <row r="197" spans="1:26" x14ac:dyDescent="0.2">
      <c r="A197" s="148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8"/>
    </row>
    <row r="198" spans="1:26" x14ac:dyDescent="0.2">
      <c r="A198" s="148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8"/>
    </row>
    <row r="199" spans="1:26" x14ac:dyDescent="0.2">
      <c r="A199" s="148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8"/>
    </row>
    <row r="200" spans="1:26" x14ac:dyDescent="0.2">
      <c r="A200" s="148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8"/>
    </row>
    <row r="201" spans="1:26" x14ac:dyDescent="0.2">
      <c r="A201" s="148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8"/>
    </row>
    <row r="202" spans="1:26" x14ac:dyDescent="0.2">
      <c r="A202" s="148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8"/>
    </row>
    <row r="203" spans="1:26" x14ac:dyDescent="0.2">
      <c r="A203" s="148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8"/>
    </row>
    <row r="204" spans="1:26" x14ac:dyDescent="0.2">
      <c r="A204" s="148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8"/>
    </row>
    <row r="205" spans="1:26" x14ac:dyDescent="0.2">
      <c r="A205" s="148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8"/>
    </row>
    <row r="206" spans="1:26" x14ac:dyDescent="0.2">
      <c r="A206" s="148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8"/>
    </row>
    <row r="207" spans="1:26" x14ac:dyDescent="0.2">
      <c r="A207" s="148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8"/>
    </row>
    <row r="208" spans="1:26" x14ac:dyDescent="0.2">
      <c r="A208" s="148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8"/>
    </row>
    <row r="209" spans="1:26" x14ac:dyDescent="0.2">
      <c r="A209" s="148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8"/>
    </row>
    <row r="210" spans="1:26" x14ac:dyDescent="0.2">
      <c r="A210" s="148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8"/>
    </row>
    <row r="211" spans="1:26" x14ac:dyDescent="0.2">
      <c r="A211" s="148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8"/>
    </row>
    <row r="212" spans="1:26" x14ac:dyDescent="0.2">
      <c r="A212" s="148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8"/>
    </row>
    <row r="213" spans="1:26" x14ac:dyDescent="0.2">
      <c r="A213" s="148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8"/>
    </row>
    <row r="214" spans="1:26" x14ac:dyDescent="0.2">
      <c r="A214" s="148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8"/>
    </row>
    <row r="215" spans="1:26" x14ac:dyDescent="0.2">
      <c r="A215" s="148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8"/>
    </row>
    <row r="216" spans="1:26" x14ac:dyDescent="0.2">
      <c r="A216" s="148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8"/>
    </row>
    <row r="217" spans="1:26" x14ac:dyDescent="0.2">
      <c r="A217" s="148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8"/>
    </row>
    <row r="218" spans="1:26" x14ac:dyDescent="0.2">
      <c r="A218" s="148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8"/>
    </row>
    <row r="219" spans="1:26" x14ac:dyDescent="0.2">
      <c r="A219" s="148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8"/>
    </row>
    <row r="220" spans="1:26" x14ac:dyDescent="0.2">
      <c r="A220" s="148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8"/>
    </row>
    <row r="221" spans="1:26" x14ac:dyDescent="0.2">
      <c r="A221" s="148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8"/>
    </row>
    <row r="222" spans="1:26" x14ac:dyDescent="0.2">
      <c r="A222" s="148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8"/>
    </row>
    <row r="223" spans="1:26" x14ac:dyDescent="0.2">
      <c r="A223" s="148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8"/>
    </row>
    <row r="224" spans="1:26" x14ac:dyDescent="0.2">
      <c r="A224" s="148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8"/>
    </row>
    <row r="225" spans="1:26" x14ac:dyDescent="0.2">
      <c r="A225" s="148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8"/>
    </row>
    <row r="226" spans="1:26" x14ac:dyDescent="0.2">
      <c r="A226" s="148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8"/>
    </row>
    <row r="227" spans="1:26" x14ac:dyDescent="0.2">
      <c r="A227" s="148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8"/>
    </row>
    <row r="228" spans="1:26" x14ac:dyDescent="0.2">
      <c r="A228" s="148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8"/>
    </row>
    <row r="229" spans="1:26" x14ac:dyDescent="0.2">
      <c r="A229" s="148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8"/>
    </row>
    <row r="230" spans="1:26" x14ac:dyDescent="0.2">
      <c r="A230" s="148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8"/>
    </row>
    <row r="231" spans="1:26" x14ac:dyDescent="0.2">
      <c r="A231" s="148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8"/>
    </row>
    <row r="232" spans="1:26" x14ac:dyDescent="0.2">
      <c r="A232" s="148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8"/>
    </row>
    <row r="233" spans="1:26" x14ac:dyDescent="0.2">
      <c r="A233" s="148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8"/>
    </row>
    <row r="234" spans="1:26" x14ac:dyDescent="0.2">
      <c r="A234" s="148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8"/>
    </row>
    <row r="235" spans="1:26" x14ac:dyDescent="0.2">
      <c r="A235" s="148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8"/>
    </row>
    <row r="236" spans="1:26" x14ac:dyDescent="0.2">
      <c r="A236" s="148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8"/>
    </row>
    <row r="237" spans="1:26" x14ac:dyDescent="0.2">
      <c r="A237" s="148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8"/>
    </row>
    <row r="238" spans="1:26" x14ac:dyDescent="0.2">
      <c r="A238" s="148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8"/>
    </row>
    <row r="239" spans="1:26" x14ac:dyDescent="0.2">
      <c r="A239" s="148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8"/>
    </row>
    <row r="240" spans="1:26" x14ac:dyDescent="0.2">
      <c r="A240" s="148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8"/>
    </row>
    <row r="241" spans="1:26" x14ac:dyDescent="0.2">
      <c r="A241" s="148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8"/>
    </row>
    <row r="242" spans="1:26" x14ac:dyDescent="0.2">
      <c r="A242" s="148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8"/>
    </row>
    <row r="243" spans="1:26" x14ac:dyDescent="0.2">
      <c r="A243" s="148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8"/>
    </row>
    <row r="244" spans="1:26" x14ac:dyDescent="0.2">
      <c r="A244" s="148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8"/>
    </row>
    <row r="245" spans="1:26" x14ac:dyDescent="0.2">
      <c r="A245" s="148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8"/>
    </row>
    <row r="246" spans="1:26" x14ac:dyDescent="0.2">
      <c r="A246" s="148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8"/>
    </row>
    <row r="247" spans="1:26" x14ac:dyDescent="0.2">
      <c r="A247" s="148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8"/>
    </row>
    <row r="248" spans="1:26" x14ac:dyDescent="0.2">
      <c r="A248" s="148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8"/>
    </row>
    <row r="249" spans="1:26" x14ac:dyDescent="0.2">
      <c r="A249" s="148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8"/>
    </row>
    <row r="250" spans="1:26" x14ac:dyDescent="0.2">
      <c r="A250" s="148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8"/>
    </row>
    <row r="251" spans="1:26" x14ac:dyDescent="0.2">
      <c r="A251" s="148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8"/>
    </row>
    <row r="252" spans="1:26" x14ac:dyDescent="0.2">
      <c r="A252" s="148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8"/>
    </row>
    <row r="253" spans="1:26" x14ac:dyDescent="0.2">
      <c r="A253" s="148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8"/>
    </row>
    <row r="254" spans="1:26" x14ac:dyDescent="0.2">
      <c r="A254" s="148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8"/>
    </row>
    <row r="255" spans="1:26" x14ac:dyDescent="0.2">
      <c r="A255" s="148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8"/>
    </row>
    <row r="256" spans="1:26" x14ac:dyDescent="0.2">
      <c r="A256" s="148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8"/>
    </row>
    <row r="257" spans="1:26" x14ac:dyDescent="0.2">
      <c r="A257" s="148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8"/>
    </row>
    <row r="258" spans="1:26" x14ac:dyDescent="0.2">
      <c r="A258" s="148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8"/>
    </row>
    <row r="259" spans="1:26" x14ac:dyDescent="0.2">
      <c r="A259" s="148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8"/>
    </row>
    <row r="260" spans="1:26" x14ac:dyDescent="0.2">
      <c r="A260" s="148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8"/>
    </row>
    <row r="261" spans="1:26" x14ac:dyDescent="0.2">
      <c r="A261" s="148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8"/>
    </row>
    <row r="262" spans="1:26" x14ac:dyDescent="0.2">
      <c r="A262" s="148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8"/>
    </row>
    <row r="263" spans="1:26" x14ac:dyDescent="0.2">
      <c r="A263" s="148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8"/>
    </row>
    <row r="264" spans="1:26" x14ac:dyDescent="0.2">
      <c r="A264" s="148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8"/>
    </row>
    <row r="265" spans="1:26" x14ac:dyDescent="0.2">
      <c r="A265" s="148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8"/>
    </row>
    <row r="266" spans="1:26" x14ac:dyDescent="0.2">
      <c r="A266" s="148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8"/>
    </row>
    <row r="267" spans="1:26" x14ac:dyDescent="0.2">
      <c r="A267" s="148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8"/>
    </row>
    <row r="268" spans="1:26" x14ac:dyDescent="0.2">
      <c r="A268" s="148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8"/>
    </row>
    <row r="269" spans="1:26" x14ac:dyDescent="0.2">
      <c r="A269" s="148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8"/>
    </row>
    <row r="270" spans="1:26" x14ac:dyDescent="0.2">
      <c r="A270" s="148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8"/>
    </row>
    <row r="271" spans="1:26" x14ac:dyDescent="0.2">
      <c r="A271" s="148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8"/>
    </row>
    <row r="272" spans="1:26" x14ac:dyDescent="0.2">
      <c r="A272" s="148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8"/>
    </row>
    <row r="273" spans="1:26" x14ac:dyDescent="0.2">
      <c r="A273" s="148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8"/>
    </row>
    <row r="274" spans="1:26" x14ac:dyDescent="0.2">
      <c r="A274" s="148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8"/>
    </row>
    <row r="275" spans="1:26" x14ac:dyDescent="0.2">
      <c r="A275" s="148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8"/>
    </row>
    <row r="276" spans="1:26" x14ac:dyDescent="0.2">
      <c r="A276" s="148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8"/>
    </row>
    <row r="277" spans="1:26" x14ac:dyDescent="0.2">
      <c r="A277" s="148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8"/>
    </row>
    <row r="278" spans="1:26" x14ac:dyDescent="0.2">
      <c r="A278" s="148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8"/>
    </row>
    <row r="279" spans="1:26" x14ac:dyDescent="0.2">
      <c r="A279" s="148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8"/>
    </row>
    <row r="280" spans="1:26" x14ac:dyDescent="0.2">
      <c r="A280" s="148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8"/>
    </row>
    <row r="281" spans="1:26" x14ac:dyDescent="0.2">
      <c r="A281" s="148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8"/>
    </row>
    <row r="282" spans="1:26" x14ac:dyDescent="0.2">
      <c r="A282" s="148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8"/>
    </row>
    <row r="283" spans="1:26" x14ac:dyDescent="0.2">
      <c r="A283" s="148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8"/>
    </row>
    <row r="284" spans="1:26" x14ac:dyDescent="0.2">
      <c r="A284" s="148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8"/>
    </row>
    <row r="285" spans="1:26" x14ac:dyDescent="0.2">
      <c r="A285" s="148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8"/>
    </row>
    <row r="286" spans="1:26" x14ac:dyDescent="0.2">
      <c r="A286" s="148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8"/>
    </row>
    <row r="287" spans="1:26" x14ac:dyDescent="0.2">
      <c r="A287" s="148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8"/>
    </row>
    <row r="288" spans="1:26" x14ac:dyDescent="0.2">
      <c r="A288" s="148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8"/>
    </row>
    <row r="289" spans="1:26" x14ac:dyDescent="0.2">
      <c r="A289" s="148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8"/>
    </row>
    <row r="290" spans="1:26" x14ac:dyDescent="0.2">
      <c r="A290" s="148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8"/>
    </row>
    <row r="291" spans="1:26" x14ac:dyDescent="0.2">
      <c r="A291" s="148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8"/>
    </row>
    <row r="292" spans="1:26" x14ac:dyDescent="0.2">
      <c r="A292" s="148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8"/>
    </row>
    <row r="293" spans="1:26" x14ac:dyDescent="0.2">
      <c r="A293" s="148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8"/>
    </row>
    <row r="294" spans="1:26" x14ac:dyDescent="0.2">
      <c r="A294" s="148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8"/>
    </row>
    <row r="295" spans="1:26" x14ac:dyDescent="0.2">
      <c r="A295" s="148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8"/>
    </row>
    <row r="296" spans="1:26" x14ac:dyDescent="0.2">
      <c r="A296" s="148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8"/>
    </row>
    <row r="297" spans="1:26" x14ac:dyDescent="0.2">
      <c r="A297" s="148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8"/>
    </row>
    <row r="298" spans="1:26" x14ac:dyDescent="0.2">
      <c r="A298" s="148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8"/>
    </row>
    <row r="299" spans="1:26" x14ac:dyDescent="0.2">
      <c r="A299" s="148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8"/>
    </row>
    <row r="300" spans="1:26" x14ac:dyDescent="0.2">
      <c r="A300" s="148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8"/>
    </row>
    <row r="301" spans="1:26" x14ac:dyDescent="0.2">
      <c r="A301" s="148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8"/>
    </row>
    <row r="302" spans="1:26" x14ac:dyDescent="0.2">
      <c r="A302" s="148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8"/>
    </row>
    <row r="303" spans="1:26" x14ac:dyDescent="0.2">
      <c r="A303" s="148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8"/>
    </row>
    <row r="304" spans="1:26" x14ac:dyDescent="0.2">
      <c r="A304" s="148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8"/>
    </row>
    <row r="305" spans="1:26" x14ac:dyDescent="0.2">
      <c r="A305" s="148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8"/>
    </row>
    <row r="306" spans="1:26" x14ac:dyDescent="0.2">
      <c r="A306" s="148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8"/>
    </row>
    <row r="307" spans="1:26" x14ac:dyDescent="0.2">
      <c r="A307" s="148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8"/>
    </row>
    <row r="308" spans="1:26" x14ac:dyDescent="0.2">
      <c r="A308" s="148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8"/>
    </row>
    <row r="309" spans="1:26" x14ac:dyDescent="0.2">
      <c r="A309" s="148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8"/>
    </row>
    <row r="310" spans="1:26" x14ac:dyDescent="0.2">
      <c r="A310" s="148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8"/>
    </row>
    <row r="311" spans="1:26" x14ac:dyDescent="0.2">
      <c r="A311" s="148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8"/>
    </row>
    <row r="312" spans="1:26" x14ac:dyDescent="0.2">
      <c r="A312" s="148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8"/>
    </row>
    <row r="313" spans="1:26" x14ac:dyDescent="0.2">
      <c r="A313" s="148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8"/>
    </row>
    <row r="314" spans="1:26" x14ac:dyDescent="0.2">
      <c r="A314" s="148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8"/>
    </row>
    <row r="315" spans="1:26" x14ac:dyDescent="0.2">
      <c r="A315" s="148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8"/>
    </row>
    <row r="316" spans="1:26" x14ac:dyDescent="0.2">
      <c r="A316" s="148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8"/>
    </row>
    <row r="317" spans="1:26" x14ac:dyDescent="0.2">
      <c r="A317" s="148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8"/>
    </row>
    <row r="318" spans="1:26" x14ac:dyDescent="0.2">
      <c r="A318" s="148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8"/>
    </row>
    <row r="319" spans="1:26" x14ac:dyDescent="0.2">
      <c r="A319" s="148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8"/>
    </row>
    <row r="320" spans="1:26" x14ac:dyDescent="0.2">
      <c r="A320" s="148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8"/>
    </row>
    <row r="321" spans="1:26" x14ac:dyDescent="0.2">
      <c r="A321" s="148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8"/>
    </row>
    <row r="322" spans="1:26" x14ac:dyDescent="0.2">
      <c r="A322" s="148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8"/>
    </row>
    <row r="323" spans="1:26" x14ac:dyDescent="0.2">
      <c r="A323" s="148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8"/>
    </row>
    <row r="324" spans="1:26" x14ac:dyDescent="0.2">
      <c r="A324" s="148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8"/>
    </row>
    <row r="325" spans="1:26" x14ac:dyDescent="0.2">
      <c r="A325" s="148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8"/>
    </row>
    <row r="326" spans="1:26" x14ac:dyDescent="0.2">
      <c r="A326" s="148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8"/>
    </row>
    <row r="327" spans="1:26" x14ac:dyDescent="0.2">
      <c r="A327" s="148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8"/>
    </row>
    <row r="328" spans="1:26" x14ac:dyDescent="0.2">
      <c r="A328" s="148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8"/>
    </row>
    <row r="329" spans="1:26" x14ac:dyDescent="0.2">
      <c r="A329" s="148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8"/>
    </row>
    <row r="330" spans="1:26" x14ac:dyDescent="0.2">
      <c r="A330" s="148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8"/>
    </row>
    <row r="331" spans="1:26" x14ac:dyDescent="0.2">
      <c r="A331" s="148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8"/>
    </row>
    <row r="332" spans="1:26" x14ac:dyDescent="0.2">
      <c r="A332" s="148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8"/>
    </row>
    <row r="333" spans="1:26" x14ac:dyDescent="0.2">
      <c r="A333" s="148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8"/>
    </row>
    <row r="334" spans="1:26" x14ac:dyDescent="0.2">
      <c r="A334" s="148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8"/>
    </row>
    <row r="335" spans="1:26" x14ac:dyDescent="0.2">
      <c r="A335" s="148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8"/>
    </row>
    <row r="336" spans="1:26" x14ac:dyDescent="0.2">
      <c r="A336" s="148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8"/>
    </row>
    <row r="337" spans="1:26" x14ac:dyDescent="0.2">
      <c r="A337" s="148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8"/>
    </row>
    <row r="338" spans="1:26" x14ac:dyDescent="0.2">
      <c r="A338" s="148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8"/>
    </row>
    <row r="339" spans="1:26" x14ac:dyDescent="0.2">
      <c r="A339" s="148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8"/>
    </row>
    <row r="340" spans="1:26" x14ac:dyDescent="0.2">
      <c r="A340" s="148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8"/>
    </row>
    <row r="341" spans="1:26" x14ac:dyDescent="0.2">
      <c r="A341" s="148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8"/>
    </row>
    <row r="342" spans="1:26" x14ac:dyDescent="0.2">
      <c r="A342" s="148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8"/>
    </row>
    <row r="343" spans="1:26" x14ac:dyDescent="0.2">
      <c r="A343" s="148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8"/>
    </row>
    <row r="344" spans="1:26" x14ac:dyDescent="0.2">
      <c r="A344" s="148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8"/>
    </row>
    <row r="345" spans="1:26" x14ac:dyDescent="0.2">
      <c r="A345" s="148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8"/>
    </row>
    <row r="346" spans="1:26" x14ac:dyDescent="0.2">
      <c r="A346" s="148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8"/>
    </row>
    <row r="347" spans="1:26" x14ac:dyDescent="0.2">
      <c r="A347" s="148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8"/>
    </row>
    <row r="348" spans="1:26" x14ac:dyDescent="0.2">
      <c r="A348" s="148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8"/>
    </row>
    <row r="349" spans="1:26" x14ac:dyDescent="0.2">
      <c r="A349" s="148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8"/>
    </row>
    <row r="350" spans="1:26" x14ac:dyDescent="0.2">
      <c r="A350" s="148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8"/>
    </row>
    <row r="351" spans="1:26" x14ac:dyDescent="0.2">
      <c r="A351" s="148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8"/>
    </row>
    <row r="352" spans="1:26" x14ac:dyDescent="0.2">
      <c r="A352" s="148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8"/>
    </row>
    <row r="353" spans="1:26" x14ac:dyDescent="0.2">
      <c r="A353" s="148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8"/>
    </row>
    <row r="354" spans="1:26" x14ac:dyDescent="0.2">
      <c r="A354" s="148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8"/>
    </row>
    <row r="355" spans="1:26" x14ac:dyDescent="0.2">
      <c r="A355" s="148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8"/>
    </row>
    <row r="356" spans="1:26" x14ac:dyDescent="0.2">
      <c r="A356" s="148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8"/>
    </row>
    <row r="357" spans="1:26" x14ac:dyDescent="0.2">
      <c r="A357" s="148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8"/>
    </row>
    <row r="358" spans="1:26" x14ac:dyDescent="0.2">
      <c r="A358" s="148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8"/>
    </row>
    <row r="359" spans="1:26" x14ac:dyDescent="0.2">
      <c r="A359" s="148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8"/>
    </row>
    <row r="360" spans="1:26" x14ac:dyDescent="0.2">
      <c r="A360" s="148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8"/>
    </row>
    <row r="361" spans="1:26" x14ac:dyDescent="0.2">
      <c r="A361" s="148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8"/>
    </row>
    <row r="362" spans="1:26" x14ac:dyDescent="0.2">
      <c r="A362" s="148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8"/>
    </row>
    <row r="363" spans="1:26" x14ac:dyDescent="0.2">
      <c r="A363" s="148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8"/>
    </row>
    <row r="364" spans="1:26" x14ac:dyDescent="0.2">
      <c r="A364" s="148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8"/>
    </row>
    <row r="365" spans="1:26" x14ac:dyDescent="0.2">
      <c r="A365" s="148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8"/>
    </row>
    <row r="366" spans="1:26" x14ac:dyDescent="0.2">
      <c r="A366" s="148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8"/>
    </row>
    <row r="367" spans="1:26" x14ac:dyDescent="0.2">
      <c r="A367" s="148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8"/>
    </row>
    <row r="368" spans="1:26" x14ac:dyDescent="0.2">
      <c r="A368" s="148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8"/>
    </row>
    <row r="369" spans="1:26" x14ac:dyDescent="0.2">
      <c r="A369" s="148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8"/>
    </row>
    <row r="370" spans="1:26" x14ac:dyDescent="0.2">
      <c r="A370" s="148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8"/>
    </row>
    <row r="371" spans="1:26" x14ac:dyDescent="0.2">
      <c r="A371" s="148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8"/>
    </row>
    <row r="372" spans="1:26" x14ac:dyDescent="0.2">
      <c r="A372" s="148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8"/>
    </row>
    <row r="373" spans="1:26" x14ac:dyDescent="0.2">
      <c r="A373" s="148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8"/>
    </row>
    <row r="374" spans="1:26" x14ac:dyDescent="0.2">
      <c r="A374" s="148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8"/>
    </row>
    <row r="375" spans="1:26" x14ac:dyDescent="0.2">
      <c r="A375" s="148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8"/>
    </row>
    <row r="376" spans="1:26" x14ac:dyDescent="0.2">
      <c r="A376" s="148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8"/>
    </row>
    <row r="377" spans="1:26" x14ac:dyDescent="0.2">
      <c r="A377" s="148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8"/>
    </row>
    <row r="378" spans="1:26" x14ac:dyDescent="0.2">
      <c r="A378" s="148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8"/>
    </row>
    <row r="379" spans="1:26" x14ac:dyDescent="0.2">
      <c r="A379" s="148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8"/>
    </row>
    <row r="380" spans="1:26" x14ac:dyDescent="0.2">
      <c r="A380" s="148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8"/>
    </row>
    <row r="381" spans="1:26" x14ac:dyDescent="0.2">
      <c r="A381" s="148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8"/>
    </row>
    <row r="382" spans="1:26" x14ac:dyDescent="0.2">
      <c r="A382" s="148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8"/>
    </row>
    <row r="383" spans="1:26" x14ac:dyDescent="0.2">
      <c r="A383" s="148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8"/>
    </row>
    <row r="384" spans="1:26" x14ac:dyDescent="0.2">
      <c r="A384" s="148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8"/>
    </row>
    <row r="385" spans="1:26" x14ac:dyDescent="0.2">
      <c r="A385" s="148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8"/>
    </row>
    <row r="386" spans="1:26" x14ac:dyDescent="0.2">
      <c r="A386" s="148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8"/>
    </row>
    <row r="387" spans="1:26" x14ac:dyDescent="0.2">
      <c r="A387" s="148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8"/>
    </row>
    <row r="388" spans="1:26" x14ac:dyDescent="0.2">
      <c r="A388" s="148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8"/>
    </row>
    <row r="389" spans="1:26" x14ac:dyDescent="0.2">
      <c r="A389" s="148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8"/>
    </row>
    <row r="390" spans="1:26" x14ac:dyDescent="0.2">
      <c r="A390" s="148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8"/>
    </row>
    <row r="391" spans="1:26" x14ac:dyDescent="0.2">
      <c r="A391" s="148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8"/>
    </row>
    <row r="392" spans="1:26" x14ac:dyDescent="0.2">
      <c r="A392" s="148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8"/>
    </row>
    <row r="393" spans="1:26" x14ac:dyDescent="0.2">
      <c r="A393" s="148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8"/>
    </row>
    <row r="394" spans="1:26" x14ac:dyDescent="0.2">
      <c r="A394" s="148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8"/>
    </row>
    <row r="395" spans="1:26" x14ac:dyDescent="0.2">
      <c r="A395" s="148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8"/>
    </row>
    <row r="396" spans="1:26" x14ac:dyDescent="0.2">
      <c r="A396" s="148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8"/>
    </row>
    <row r="397" spans="1:26" x14ac:dyDescent="0.2">
      <c r="A397" s="148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8"/>
    </row>
    <row r="398" spans="1:26" x14ac:dyDescent="0.2">
      <c r="A398" s="148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8"/>
    </row>
    <row r="399" spans="1:26" x14ac:dyDescent="0.2">
      <c r="A399" s="148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8"/>
    </row>
    <row r="400" spans="1:26" x14ac:dyDescent="0.2">
      <c r="A400" s="148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8"/>
    </row>
    <row r="401" spans="1:26" x14ac:dyDescent="0.2">
      <c r="A401" s="148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8"/>
    </row>
    <row r="402" spans="1:26" x14ac:dyDescent="0.2">
      <c r="A402" s="148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8"/>
    </row>
    <row r="403" spans="1:26" x14ac:dyDescent="0.2">
      <c r="A403" s="148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8"/>
    </row>
    <row r="404" spans="1:26" x14ac:dyDescent="0.2">
      <c r="A404" s="148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8"/>
    </row>
    <row r="405" spans="1:26" x14ac:dyDescent="0.2">
      <c r="A405" s="148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8"/>
    </row>
    <row r="406" spans="1:26" x14ac:dyDescent="0.2">
      <c r="A406" s="148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8"/>
    </row>
    <row r="407" spans="1:26" x14ac:dyDescent="0.2">
      <c r="A407" s="148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8"/>
    </row>
    <row r="408" spans="1:26" x14ac:dyDescent="0.2">
      <c r="A408" s="148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8"/>
    </row>
    <row r="409" spans="1:26" x14ac:dyDescent="0.2">
      <c r="A409" s="148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8"/>
    </row>
    <row r="410" spans="1:26" x14ac:dyDescent="0.2">
      <c r="A410" s="148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8"/>
    </row>
    <row r="411" spans="1:26" x14ac:dyDescent="0.2">
      <c r="A411" s="148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8"/>
    </row>
    <row r="412" spans="1:26" x14ac:dyDescent="0.2">
      <c r="A412" s="148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8"/>
    </row>
    <row r="413" spans="1:26" x14ac:dyDescent="0.2">
      <c r="A413" s="148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8"/>
    </row>
    <row r="414" spans="1:26" x14ac:dyDescent="0.2">
      <c r="A414" s="148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8"/>
    </row>
    <row r="415" spans="1:26" x14ac:dyDescent="0.2">
      <c r="A415" s="148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8"/>
    </row>
    <row r="416" spans="1:26" x14ac:dyDescent="0.2">
      <c r="A416" s="148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8"/>
    </row>
    <row r="417" spans="1:26" x14ac:dyDescent="0.2">
      <c r="A417" s="148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8"/>
    </row>
    <row r="418" spans="1:26" x14ac:dyDescent="0.2">
      <c r="A418" s="148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8"/>
    </row>
    <row r="419" spans="1:26" x14ac:dyDescent="0.2">
      <c r="A419" s="148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8"/>
    </row>
    <row r="420" spans="1:26" x14ac:dyDescent="0.2">
      <c r="A420" s="148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8"/>
    </row>
    <row r="421" spans="1:26" x14ac:dyDescent="0.2">
      <c r="A421" s="148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8"/>
    </row>
    <row r="422" spans="1:26" x14ac:dyDescent="0.2">
      <c r="A422" s="148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8"/>
    </row>
    <row r="423" spans="1:26" x14ac:dyDescent="0.2">
      <c r="A423" s="148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8"/>
    </row>
    <row r="424" spans="1:26" x14ac:dyDescent="0.2">
      <c r="A424" s="148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8"/>
    </row>
    <row r="425" spans="1:26" x14ac:dyDescent="0.2">
      <c r="A425" s="148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8"/>
    </row>
    <row r="426" spans="1:26" x14ac:dyDescent="0.2">
      <c r="A426" s="148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8"/>
    </row>
    <row r="427" spans="1:26" x14ac:dyDescent="0.2">
      <c r="A427" s="148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8"/>
    </row>
    <row r="428" spans="1:26" x14ac:dyDescent="0.2">
      <c r="A428" s="148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8"/>
    </row>
    <row r="429" spans="1:26" x14ac:dyDescent="0.2">
      <c r="A429" s="148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8"/>
    </row>
    <row r="430" spans="1:26" x14ac:dyDescent="0.2">
      <c r="A430" s="148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8"/>
    </row>
    <row r="431" spans="1:26" x14ac:dyDescent="0.2">
      <c r="A431" s="148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8"/>
    </row>
    <row r="432" spans="1:26" x14ac:dyDescent="0.2">
      <c r="A432" s="148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8"/>
    </row>
    <row r="433" spans="1:26" x14ac:dyDescent="0.2">
      <c r="A433" s="148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8"/>
    </row>
    <row r="434" spans="1:26" x14ac:dyDescent="0.2">
      <c r="A434" s="148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8"/>
    </row>
    <row r="435" spans="1:26" x14ac:dyDescent="0.2">
      <c r="A435" s="148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8"/>
    </row>
    <row r="436" spans="1:26" x14ac:dyDescent="0.2">
      <c r="A436" s="148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8"/>
    </row>
    <row r="437" spans="1:26" x14ac:dyDescent="0.2">
      <c r="A437" s="148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8"/>
    </row>
    <row r="438" spans="1:26" x14ac:dyDescent="0.2">
      <c r="A438" s="148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8"/>
    </row>
    <row r="439" spans="1:26" x14ac:dyDescent="0.2">
      <c r="A439" s="148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8"/>
    </row>
    <row r="440" spans="1:26" x14ac:dyDescent="0.2">
      <c r="A440" s="148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8"/>
    </row>
    <row r="441" spans="1:26" x14ac:dyDescent="0.2">
      <c r="A441" s="148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8"/>
    </row>
    <row r="442" spans="1:26" x14ac:dyDescent="0.2">
      <c r="A442" s="148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8"/>
    </row>
    <row r="443" spans="1:26" x14ac:dyDescent="0.2">
      <c r="A443" s="148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8"/>
    </row>
    <row r="444" spans="1:26" x14ac:dyDescent="0.2">
      <c r="A444" s="148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8"/>
    </row>
    <row r="445" spans="1:26" x14ac:dyDescent="0.2">
      <c r="A445" s="148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8"/>
    </row>
    <row r="446" spans="1:26" x14ac:dyDescent="0.2">
      <c r="A446" s="148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8"/>
    </row>
    <row r="447" spans="1:26" x14ac:dyDescent="0.2">
      <c r="A447" s="148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8"/>
    </row>
    <row r="448" spans="1:26" x14ac:dyDescent="0.2">
      <c r="A448" s="148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8"/>
    </row>
    <row r="449" spans="1:26" x14ac:dyDescent="0.2">
      <c r="A449" s="148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8"/>
    </row>
    <row r="450" spans="1:26" x14ac:dyDescent="0.2">
      <c r="A450" s="148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8"/>
    </row>
    <row r="451" spans="1:26" x14ac:dyDescent="0.2">
      <c r="A451" s="148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8"/>
    </row>
    <row r="452" spans="1:26" x14ac:dyDescent="0.2">
      <c r="A452" s="148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8"/>
    </row>
    <row r="453" spans="1:26" x14ac:dyDescent="0.2">
      <c r="A453" s="148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8"/>
    </row>
    <row r="454" spans="1:26" x14ac:dyDescent="0.2">
      <c r="A454" s="148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8"/>
    </row>
    <row r="455" spans="1:26" x14ac:dyDescent="0.2">
      <c r="A455" s="148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8"/>
    </row>
    <row r="456" spans="1:26" x14ac:dyDescent="0.2">
      <c r="A456" s="148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8"/>
    </row>
    <row r="457" spans="1:26" x14ac:dyDescent="0.2">
      <c r="A457" s="148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8"/>
    </row>
    <row r="458" spans="1:26" x14ac:dyDescent="0.2">
      <c r="A458" s="148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8"/>
    </row>
    <row r="459" spans="1:26" x14ac:dyDescent="0.2">
      <c r="A459" s="148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8"/>
    </row>
    <row r="460" spans="1:26" x14ac:dyDescent="0.2">
      <c r="A460" s="148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8"/>
    </row>
    <row r="461" spans="1:26" x14ac:dyDescent="0.2">
      <c r="A461" s="148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8"/>
    </row>
    <row r="462" spans="1:26" x14ac:dyDescent="0.2">
      <c r="A462" s="148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8"/>
    </row>
    <row r="463" spans="1:26" x14ac:dyDescent="0.2">
      <c r="A463" s="148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8"/>
    </row>
    <row r="464" spans="1:26" x14ac:dyDescent="0.2">
      <c r="A464" s="148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8"/>
    </row>
    <row r="465" spans="1:26" x14ac:dyDescent="0.2">
      <c r="A465" s="148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8"/>
    </row>
    <row r="466" spans="1:26" x14ac:dyDescent="0.2">
      <c r="A466" s="148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8"/>
    </row>
    <row r="467" spans="1:26" x14ac:dyDescent="0.2">
      <c r="A467" s="148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8"/>
    </row>
    <row r="468" spans="1:26" x14ac:dyDescent="0.2">
      <c r="A468" s="148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8"/>
    </row>
    <row r="469" spans="1:26" x14ac:dyDescent="0.2">
      <c r="A469" s="148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8"/>
    </row>
    <row r="470" spans="1:26" x14ac:dyDescent="0.2">
      <c r="A470" s="148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8"/>
    </row>
    <row r="471" spans="1:26" x14ac:dyDescent="0.2">
      <c r="A471" s="148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8"/>
    </row>
    <row r="472" spans="1:26" x14ac:dyDescent="0.2">
      <c r="A472" s="148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8"/>
    </row>
    <row r="473" spans="1:26" x14ac:dyDescent="0.2">
      <c r="A473" s="148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8"/>
    </row>
    <row r="474" spans="1:26" x14ac:dyDescent="0.2">
      <c r="A474" s="148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8"/>
    </row>
    <row r="475" spans="1:26" x14ac:dyDescent="0.2">
      <c r="A475" s="148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8"/>
    </row>
    <row r="476" spans="1:26" x14ac:dyDescent="0.2">
      <c r="A476" s="148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8"/>
    </row>
    <row r="477" spans="1:26" x14ac:dyDescent="0.2">
      <c r="A477" s="148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8"/>
    </row>
    <row r="478" spans="1:26" x14ac:dyDescent="0.2">
      <c r="A478" s="148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8"/>
    </row>
    <row r="479" spans="1:26" x14ac:dyDescent="0.2">
      <c r="A479" s="148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8"/>
    </row>
    <row r="480" spans="1:26" x14ac:dyDescent="0.2">
      <c r="A480" s="148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8"/>
    </row>
    <row r="481" spans="1:26" x14ac:dyDescent="0.2">
      <c r="A481" s="148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8"/>
    </row>
    <row r="482" spans="1:26" x14ac:dyDescent="0.2">
      <c r="A482" s="148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8"/>
    </row>
    <row r="483" spans="1:26" x14ac:dyDescent="0.2">
      <c r="A483" s="148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8"/>
    </row>
    <row r="484" spans="1:26" x14ac:dyDescent="0.2">
      <c r="A484" s="148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8"/>
    </row>
    <row r="485" spans="1:26" x14ac:dyDescent="0.2">
      <c r="A485" s="148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8"/>
    </row>
    <row r="486" spans="1:26" x14ac:dyDescent="0.2">
      <c r="A486" s="148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8"/>
    </row>
    <row r="487" spans="1:26" x14ac:dyDescent="0.2">
      <c r="A487" s="148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8"/>
    </row>
    <row r="488" spans="1:26" x14ac:dyDescent="0.2">
      <c r="A488" s="148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8"/>
    </row>
    <row r="489" spans="1:26" x14ac:dyDescent="0.2">
      <c r="A489" s="148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8"/>
    </row>
    <row r="490" spans="1:26" x14ac:dyDescent="0.2">
      <c r="A490" s="148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8"/>
    </row>
    <row r="491" spans="1:26" x14ac:dyDescent="0.2">
      <c r="A491" s="148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8"/>
    </row>
    <row r="492" spans="1:26" x14ac:dyDescent="0.2">
      <c r="A492" s="148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8"/>
    </row>
    <row r="493" spans="1:26" x14ac:dyDescent="0.2">
      <c r="A493" s="148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8"/>
    </row>
    <row r="494" spans="1:26" x14ac:dyDescent="0.2">
      <c r="A494" s="148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8"/>
    </row>
    <row r="495" spans="1:26" x14ac:dyDescent="0.2">
      <c r="A495" s="148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8"/>
    </row>
    <row r="496" spans="1:26" x14ac:dyDescent="0.2">
      <c r="A496" s="148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8"/>
    </row>
    <row r="497" spans="1:26" x14ac:dyDescent="0.2">
      <c r="A497" s="148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8"/>
    </row>
    <row r="498" spans="1:26" x14ac:dyDescent="0.2">
      <c r="A498" s="148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8"/>
    </row>
    <row r="499" spans="1:26" x14ac:dyDescent="0.2">
      <c r="A499" s="148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8"/>
    </row>
    <row r="500" spans="1:26" x14ac:dyDescent="0.2">
      <c r="A500" s="148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8"/>
    </row>
    <row r="501" spans="1:26" x14ac:dyDescent="0.2">
      <c r="A501" s="148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8"/>
    </row>
    <row r="502" spans="1:26" x14ac:dyDescent="0.2">
      <c r="A502" s="148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8"/>
    </row>
    <row r="503" spans="1:26" x14ac:dyDescent="0.2">
      <c r="A503" s="148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8"/>
    </row>
    <row r="504" spans="1:26" x14ac:dyDescent="0.2">
      <c r="A504" s="148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8"/>
    </row>
    <row r="505" spans="1:26" x14ac:dyDescent="0.2">
      <c r="A505" s="148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8"/>
    </row>
    <row r="506" spans="1:26" x14ac:dyDescent="0.2">
      <c r="A506" s="148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8"/>
    </row>
    <row r="507" spans="1:26" x14ac:dyDescent="0.2">
      <c r="A507" s="148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8"/>
    </row>
    <row r="508" spans="1:26" x14ac:dyDescent="0.2">
      <c r="A508" s="148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8"/>
    </row>
    <row r="509" spans="1:26" x14ac:dyDescent="0.2">
      <c r="A509" s="148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8"/>
    </row>
    <row r="510" spans="1:26" x14ac:dyDescent="0.2">
      <c r="A510" s="148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8"/>
    </row>
    <row r="511" spans="1:26" x14ac:dyDescent="0.2">
      <c r="A511" s="148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8"/>
    </row>
    <row r="512" spans="1:26" x14ac:dyDescent="0.2">
      <c r="A512" s="148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8"/>
    </row>
    <row r="513" spans="1:26" x14ac:dyDescent="0.2">
      <c r="A513" s="148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8"/>
    </row>
    <row r="514" spans="1:26" x14ac:dyDescent="0.2">
      <c r="A514" s="148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8"/>
    </row>
    <row r="515" spans="1:26" x14ac:dyDescent="0.2">
      <c r="A515" s="148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8"/>
    </row>
    <row r="516" spans="1:26" x14ac:dyDescent="0.2">
      <c r="A516" s="148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8"/>
    </row>
    <row r="517" spans="1:26" x14ac:dyDescent="0.2">
      <c r="A517" s="148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8"/>
    </row>
    <row r="518" spans="1:26" x14ac:dyDescent="0.2">
      <c r="A518" s="148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8"/>
    </row>
    <row r="519" spans="1:26" x14ac:dyDescent="0.2">
      <c r="A519" s="148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8"/>
    </row>
    <row r="520" spans="1:26" x14ac:dyDescent="0.2">
      <c r="A520" s="148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8"/>
    </row>
    <row r="521" spans="1:26" x14ac:dyDescent="0.2">
      <c r="A521" s="148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8"/>
    </row>
    <row r="522" spans="1:26" x14ac:dyDescent="0.2">
      <c r="A522" s="148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8"/>
    </row>
    <row r="523" spans="1:26" x14ac:dyDescent="0.2">
      <c r="A523" s="148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8"/>
    </row>
    <row r="524" spans="1:26" x14ac:dyDescent="0.2">
      <c r="A524" s="148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8"/>
    </row>
    <row r="525" spans="1:26" x14ac:dyDescent="0.2">
      <c r="A525" s="148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8"/>
    </row>
    <row r="526" spans="1:26" x14ac:dyDescent="0.2">
      <c r="A526" s="148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8"/>
    </row>
    <row r="527" spans="1:26" x14ac:dyDescent="0.2">
      <c r="A527" s="148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8"/>
    </row>
    <row r="528" spans="1:26" x14ac:dyDescent="0.2">
      <c r="A528" s="148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8"/>
    </row>
    <row r="529" spans="1:26" x14ac:dyDescent="0.2">
      <c r="A529" s="148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8"/>
    </row>
    <row r="530" spans="1:26" x14ac:dyDescent="0.2">
      <c r="A530" s="148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8"/>
    </row>
    <row r="531" spans="1:26" x14ac:dyDescent="0.2">
      <c r="A531" s="148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8"/>
    </row>
    <row r="532" spans="1:26" x14ac:dyDescent="0.2">
      <c r="A532" s="148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8"/>
    </row>
    <row r="533" spans="1:26" x14ac:dyDescent="0.2">
      <c r="A533" s="148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8"/>
    </row>
    <row r="534" spans="1:26" x14ac:dyDescent="0.2">
      <c r="A534" s="148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8"/>
    </row>
    <row r="535" spans="1:26" x14ac:dyDescent="0.2">
      <c r="A535" s="148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8"/>
    </row>
    <row r="536" spans="1:26" x14ac:dyDescent="0.2">
      <c r="A536" s="148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8"/>
    </row>
    <row r="537" spans="1:26" x14ac:dyDescent="0.2">
      <c r="A537" s="148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8"/>
    </row>
    <row r="538" spans="1:26" x14ac:dyDescent="0.2">
      <c r="A538" s="148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8"/>
    </row>
    <row r="539" spans="1:26" x14ac:dyDescent="0.2">
      <c r="A539" s="148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8"/>
    </row>
    <row r="540" spans="1:26" x14ac:dyDescent="0.2">
      <c r="A540" s="148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8"/>
    </row>
    <row r="541" spans="1:26" x14ac:dyDescent="0.2">
      <c r="A541" s="148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8"/>
    </row>
    <row r="542" spans="1:26" x14ac:dyDescent="0.2">
      <c r="A542" s="148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8"/>
    </row>
    <row r="543" spans="1:26" x14ac:dyDescent="0.2">
      <c r="A543" s="148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8"/>
    </row>
    <row r="544" spans="1:26" x14ac:dyDescent="0.2">
      <c r="A544" s="148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8"/>
    </row>
    <row r="545" spans="1:26" x14ac:dyDescent="0.2">
      <c r="A545" s="148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8"/>
    </row>
    <row r="546" spans="1:26" x14ac:dyDescent="0.2">
      <c r="A546" s="148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8"/>
    </row>
    <row r="547" spans="1:26" x14ac:dyDescent="0.2">
      <c r="A547" s="148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8"/>
    </row>
    <row r="548" spans="1:26" x14ac:dyDescent="0.2">
      <c r="A548" s="148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8"/>
    </row>
    <row r="549" spans="1:26" x14ac:dyDescent="0.2">
      <c r="A549" s="148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8"/>
    </row>
    <row r="550" spans="1:26" x14ac:dyDescent="0.2">
      <c r="A550" s="148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8"/>
    </row>
    <row r="551" spans="1:26" x14ac:dyDescent="0.2">
      <c r="A551" s="148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8"/>
    </row>
    <row r="552" spans="1:26" x14ac:dyDescent="0.2">
      <c r="A552" s="148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8"/>
    </row>
    <row r="553" spans="1:26" x14ac:dyDescent="0.2">
      <c r="A553" s="148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8"/>
    </row>
    <row r="554" spans="1:26" x14ac:dyDescent="0.2">
      <c r="A554" s="148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8"/>
    </row>
    <row r="555" spans="1:26" x14ac:dyDescent="0.2">
      <c r="A555" s="148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8"/>
    </row>
    <row r="556" spans="1:26" x14ac:dyDescent="0.2">
      <c r="A556" s="148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8"/>
    </row>
    <row r="557" spans="1:26" x14ac:dyDescent="0.2">
      <c r="A557" s="148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8"/>
    </row>
    <row r="558" spans="1:26" x14ac:dyDescent="0.2">
      <c r="A558" s="148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8"/>
    </row>
    <row r="559" spans="1:26" x14ac:dyDescent="0.2">
      <c r="A559" s="148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8"/>
    </row>
    <row r="560" spans="1:26" x14ac:dyDescent="0.2">
      <c r="A560" s="148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8"/>
    </row>
    <row r="561" spans="1:26" x14ac:dyDescent="0.2">
      <c r="A561" s="148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8"/>
    </row>
    <row r="562" spans="1:26" x14ac:dyDescent="0.2">
      <c r="A562" s="148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8"/>
    </row>
    <row r="563" spans="1:26" x14ac:dyDescent="0.2">
      <c r="A563" s="148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8"/>
    </row>
    <row r="564" spans="1:26" x14ac:dyDescent="0.2">
      <c r="A564" s="148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8"/>
    </row>
    <row r="565" spans="1:26" x14ac:dyDescent="0.2">
      <c r="A565" s="148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8"/>
    </row>
    <row r="566" spans="1:26" x14ac:dyDescent="0.2">
      <c r="A566" s="148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8"/>
    </row>
    <row r="567" spans="1:26" x14ac:dyDescent="0.2">
      <c r="A567" s="148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8"/>
    </row>
    <row r="568" spans="1:26" x14ac:dyDescent="0.2">
      <c r="A568" s="148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8"/>
    </row>
    <row r="569" spans="1:26" x14ac:dyDescent="0.2">
      <c r="A569" s="148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8"/>
    </row>
    <row r="570" spans="1:26" x14ac:dyDescent="0.2">
      <c r="A570" s="148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8"/>
    </row>
    <row r="571" spans="1:26" x14ac:dyDescent="0.2">
      <c r="A571" s="148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8"/>
    </row>
    <row r="572" spans="1:26" x14ac:dyDescent="0.2">
      <c r="A572" s="148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8"/>
    </row>
    <row r="573" spans="1:26" x14ac:dyDescent="0.2">
      <c r="A573" s="148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8"/>
    </row>
    <row r="574" spans="1:26" x14ac:dyDescent="0.2">
      <c r="A574" s="148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8"/>
    </row>
    <row r="575" spans="1:26" x14ac:dyDescent="0.2">
      <c r="A575" s="148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8"/>
    </row>
    <row r="576" spans="1:26" x14ac:dyDescent="0.2">
      <c r="A576" s="148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8"/>
    </row>
    <row r="577" spans="1:26" x14ac:dyDescent="0.2">
      <c r="A577" s="148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8"/>
    </row>
    <row r="578" spans="1:26" x14ac:dyDescent="0.2">
      <c r="A578" s="148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8"/>
    </row>
    <row r="579" spans="1:26" x14ac:dyDescent="0.2">
      <c r="A579" s="148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8"/>
    </row>
    <row r="580" spans="1:26" x14ac:dyDescent="0.2">
      <c r="A580" s="148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8"/>
    </row>
    <row r="581" spans="1:26" x14ac:dyDescent="0.2">
      <c r="A581" s="148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8"/>
    </row>
    <row r="582" spans="1:26" x14ac:dyDescent="0.2">
      <c r="A582" s="148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8"/>
    </row>
    <row r="583" spans="1:26" x14ac:dyDescent="0.2">
      <c r="A583" s="148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8"/>
    </row>
    <row r="584" spans="1:26" x14ac:dyDescent="0.2">
      <c r="A584" s="148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8"/>
    </row>
    <row r="585" spans="1:26" x14ac:dyDescent="0.2">
      <c r="A585" s="148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8"/>
    </row>
    <row r="586" spans="1:26" x14ac:dyDescent="0.2">
      <c r="A586" s="148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8"/>
    </row>
    <row r="587" spans="1:26" x14ac:dyDescent="0.2">
      <c r="A587" s="148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8"/>
    </row>
    <row r="588" spans="1:26" x14ac:dyDescent="0.2">
      <c r="A588" s="148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8"/>
    </row>
    <row r="589" spans="1:26" x14ac:dyDescent="0.2">
      <c r="A589" s="148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8"/>
    </row>
    <row r="590" spans="1:26" x14ac:dyDescent="0.2">
      <c r="A590" s="148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8"/>
    </row>
    <row r="591" spans="1:26" x14ac:dyDescent="0.2">
      <c r="A591" s="148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8"/>
    </row>
    <row r="592" spans="1:26" x14ac:dyDescent="0.2">
      <c r="A592" s="148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8"/>
    </row>
    <row r="593" spans="1:26" x14ac:dyDescent="0.2">
      <c r="A593" s="148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8"/>
    </row>
    <row r="594" spans="1:26" x14ac:dyDescent="0.2">
      <c r="A594" s="148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8"/>
    </row>
    <row r="595" spans="1:26" x14ac:dyDescent="0.2">
      <c r="A595" s="148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8"/>
    </row>
    <row r="596" spans="1:26" x14ac:dyDescent="0.2">
      <c r="A596" s="148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8"/>
    </row>
    <row r="597" spans="1:26" x14ac:dyDescent="0.2">
      <c r="A597" s="148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8"/>
    </row>
    <row r="598" spans="1:26" x14ac:dyDescent="0.2">
      <c r="A598" s="148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8"/>
    </row>
    <row r="599" spans="1:26" x14ac:dyDescent="0.2">
      <c r="A599" s="148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8"/>
    </row>
    <row r="600" spans="1:26" x14ac:dyDescent="0.2">
      <c r="A600" s="148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8"/>
    </row>
    <row r="601" spans="1:26" x14ac:dyDescent="0.2">
      <c r="A601" s="148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8"/>
    </row>
    <row r="602" spans="1:26" x14ac:dyDescent="0.2">
      <c r="A602" s="148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8"/>
    </row>
    <row r="603" spans="1:26" x14ac:dyDescent="0.2">
      <c r="A603" s="148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8"/>
    </row>
    <row r="604" spans="1:26" x14ac:dyDescent="0.2">
      <c r="A604" s="148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8"/>
    </row>
    <row r="605" spans="1:26" x14ac:dyDescent="0.2">
      <c r="A605" s="148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8"/>
    </row>
    <row r="606" spans="1:26" x14ac:dyDescent="0.2">
      <c r="A606" s="148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8"/>
    </row>
    <row r="607" spans="1:26" x14ac:dyDescent="0.2">
      <c r="A607" s="148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8"/>
    </row>
    <row r="608" spans="1:26" x14ac:dyDescent="0.2">
      <c r="A608" s="148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8"/>
    </row>
    <row r="609" spans="1:26" x14ac:dyDescent="0.2">
      <c r="A609" s="148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8"/>
    </row>
    <row r="610" spans="1:26" x14ac:dyDescent="0.2">
      <c r="A610" s="148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8"/>
    </row>
    <row r="611" spans="1:26" x14ac:dyDescent="0.2">
      <c r="A611" s="148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8"/>
    </row>
    <row r="612" spans="1:26" x14ac:dyDescent="0.2">
      <c r="A612" s="148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8"/>
    </row>
    <row r="613" spans="1:26" x14ac:dyDescent="0.2">
      <c r="A613" s="148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8"/>
    </row>
    <row r="614" spans="1:26" x14ac:dyDescent="0.2">
      <c r="A614" s="148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8"/>
    </row>
    <row r="615" spans="1:26" x14ac:dyDescent="0.2">
      <c r="A615" s="148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8"/>
    </row>
    <row r="616" spans="1:26" x14ac:dyDescent="0.2">
      <c r="A616" s="148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8"/>
    </row>
    <row r="617" spans="1:26" x14ac:dyDescent="0.2">
      <c r="A617" s="148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8"/>
    </row>
    <row r="618" spans="1:26" x14ac:dyDescent="0.2">
      <c r="A618" s="148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8"/>
    </row>
    <row r="619" spans="1:26" x14ac:dyDescent="0.2">
      <c r="A619" s="148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8"/>
    </row>
    <row r="620" spans="1:26" x14ac:dyDescent="0.2">
      <c r="A620" s="148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8"/>
    </row>
    <row r="621" spans="1:26" x14ac:dyDescent="0.2">
      <c r="A621" s="148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8"/>
    </row>
    <row r="622" spans="1:26" x14ac:dyDescent="0.2">
      <c r="A622" s="148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8"/>
    </row>
    <row r="623" spans="1:26" x14ac:dyDescent="0.2">
      <c r="A623" s="148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8"/>
    </row>
    <row r="624" spans="1:26" x14ac:dyDescent="0.2">
      <c r="A624" s="148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8"/>
    </row>
    <row r="625" spans="1:26" x14ac:dyDescent="0.2">
      <c r="A625" s="148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8"/>
    </row>
    <row r="626" spans="1:26" x14ac:dyDescent="0.2">
      <c r="A626" s="148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8"/>
    </row>
    <row r="627" spans="1:26" x14ac:dyDescent="0.2">
      <c r="A627" s="148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8"/>
    </row>
    <row r="628" spans="1:26" x14ac:dyDescent="0.2">
      <c r="A628" s="148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8"/>
    </row>
    <row r="629" spans="1:26" x14ac:dyDescent="0.2">
      <c r="A629" s="148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8"/>
    </row>
    <row r="630" spans="1:26" x14ac:dyDescent="0.2">
      <c r="A630" s="148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8"/>
    </row>
    <row r="631" spans="1:26" x14ac:dyDescent="0.2">
      <c r="A631" s="148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8"/>
    </row>
    <row r="632" spans="1:26" x14ac:dyDescent="0.2">
      <c r="A632" s="148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8"/>
    </row>
    <row r="633" spans="1:26" x14ac:dyDescent="0.2">
      <c r="A633" s="148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8"/>
    </row>
    <row r="634" spans="1:26" x14ac:dyDescent="0.2">
      <c r="A634" s="148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8"/>
    </row>
    <row r="635" spans="1:26" x14ac:dyDescent="0.2">
      <c r="A635" s="148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8"/>
    </row>
    <row r="636" spans="1:26" x14ac:dyDescent="0.2">
      <c r="A636" s="148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8"/>
    </row>
    <row r="637" spans="1:26" x14ac:dyDescent="0.2">
      <c r="A637" s="148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8"/>
    </row>
    <row r="638" spans="1:26" x14ac:dyDescent="0.2">
      <c r="A638" s="148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8"/>
    </row>
    <row r="639" spans="1:26" x14ac:dyDescent="0.2">
      <c r="A639" s="148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8"/>
    </row>
    <row r="640" spans="1:26" x14ac:dyDescent="0.2">
      <c r="A640" s="148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8"/>
    </row>
    <row r="641" spans="1:26" x14ac:dyDescent="0.2">
      <c r="A641" s="148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8"/>
    </row>
    <row r="642" spans="1:26" x14ac:dyDescent="0.2">
      <c r="A642" s="148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8"/>
    </row>
    <row r="643" spans="1:26" x14ac:dyDescent="0.2">
      <c r="A643" s="148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8"/>
    </row>
    <row r="644" spans="1:26" x14ac:dyDescent="0.2">
      <c r="A644" s="148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8"/>
    </row>
    <row r="645" spans="1:26" x14ac:dyDescent="0.2">
      <c r="A645" s="148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8"/>
    </row>
    <row r="646" spans="1:26" x14ac:dyDescent="0.2">
      <c r="A646" s="148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8"/>
    </row>
    <row r="647" spans="1:26" x14ac:dyDescent="0.2">
      <c r="A647" s="148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8"/>
    </row>
    <row r="648" spans="1:26" x14ac:dyDescent="0.2">
      <c r="A648" s="148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8"/>
    </row>
    <row r="649" spans="1:26" x14ac:dyDescent="0.2">
      <c r="A649" s="148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8"/>
    </row>
    <row r="650" spans="1:26" x14ac:dyDescent="0.2">
      <c r="A650" s="148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8"/>
    </row>
    <row r="651" spans="1:26" x14ac:dyDescent="0.2">
      <c r="A651" s="148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8"/>
    </row>
    <row r="652" spans="1:26" x14ac:dyDescent="0.2">
      <c r="A652" s="148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8"/>
    </row>
    <row r="653" spans="1:26" x14ac:dyDescent="0.2">
      <c r="A653" s="148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8"/>
    </row>
    <row r="654" spans="1:26" x14ac:dyDescent="0.2">
      <c r="A654" s="148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8"/>
    </row>
    <row r="655" spans="1:26" x14ac:dyDescent="0.2">
      <c r="A655" s="148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8"/>
    </row>
    <row r="656" spans="1:26" x14ac:dyDescent="0.2">
      <c r="A656" s="148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8"/>
    </row>
    <row r="657" spans="1:26" x14ac:dyDescent="0.2">
      <c r="A657" s="148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8"/>
    </row>
    <row r="658" spans="1:26" x14ac:dyDescent="0.2">
      <c r="A658" s="148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8"/>
    </row>
    <row r="659" spans="1:26" x14ac:dyDescent="0.2">
      <c r="A659" s="148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8"/>
    </row>
    <row r="660" spans="1:26" x14ac:dyDescent="0.2">
      <c r="A660" s="148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8"/>
    </row>
    <row r="661" spans="1:26" x14ac:dyDescent="0.2">
      <c r="A661" s="148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8"/>
    </row>
    <row r="662" spans="1:26" x14ac:dyDescent="0.2">
      <c r="A662" s="148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8"/>
    </row>
    <row r="663" spans="1:26" x14ac:dyDescent="0.2">
      <c r="A663" s="148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8"/>
    </row>
    <row r="664" spans="1:26" x14ac:dyDescent="0.2">
      <c r="A664" s="148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8"/>
    </row>
    <row r="665" spans="1:26" x14ac:dyDescent="0.2">
      <c r="A665" s="148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8"/>
    </row>
    <row r="666" spans="1:26" x14ac:dyDescent="0.2">
      <c r="A666" s="148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8"/>
    </row>
    <row r="667" spans="1:26" x14ac:dyDescent="0.2">
      <c r="A667" s="148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8"/>
    </row>
    <row r="668" spans="1:26" x14ac:dyDescent="0.2">
      <c r="A668" s="148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8"/>
    </row>
    <row r="669" spans="1:26" x14ac:dyDescent="0.2">
      <c r="A669" s="148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8"/>
    </row>
    <row r="670" spans="1:26" x14ac:dyDescent="0.2">
      <c r="A670" s="148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8"/>
    </row>
    <row r="671" spans="1:26" x14ac:dyDescent="0.2">
      <c r="A671" s="148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8"/>
    </row>
    <row r="672" spans="1:26" x14ac:dyDescent="0.2">
      <c r="A672" s="148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8"/>
    </row>
    <row r="673" spans="1:26" x14ac:dyDescent="0.2">
      <c r="A673" s="148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8"/>
    </row>
    <row r="674" spans="1:26" x14ac:dyDescent="0.2">
      <c r="A674" s="148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8"/>
    </row>
    <row r="675" spans="1:26" x14ac:dyDescent="0.2">
      <c r="A675" s="148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8"/>
    </row>
    <row r="676" spans="1:26" x14ac:dyDescent="0.2">
      <c r="A676" s="148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8"/>
    </row>
    <row r="677" spans="1:26" x14ac:dyDescent="0.2">
      <c r="A677" s="148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8"/>
    </row>
    <row r="678" spans="1:26" x14ac:dyDescent="0.2">
      <c r="A678" s="148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8"/>
    </row>
    <row r="679" spans="1:26" x14ac:dyDescent="0.2">
      <c r="A679" s="148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8"/>
    </row>
    <row r="680" spans="1:26" x14ac:dyDescent="0.2">
      <c r="A680" s="148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8"/>
    </row>
    <row r="681" spans="1:26" x14ac:dyDescent="0.2">
      <c r="A681" s="148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8"/>
    </row>
    <row r="682" spans="1:26" x14ac:dyDescent="0.2">
      <c r="A682" s="148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8"/>
    </row>
    <row r="683" spans="1:26" x14ac:dyDescent="0.2">
      <c r="A683" s="148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8"/>
    </row>
    <row r="684" spans="1:26" x14ac:dyDescent="0.2">
      <c r="A684" s="148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8"/>
    </row>
    <row r="685" spans="1:26" x14ac:dyDescent="0.2">
      <c r="A685" s="148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8"/>
    </row>
    <row r="686" spans="1:26" x14ac:dyDescent="0.2">
      <c r="A686" s="148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8"/>
    </row>
    <row r="687" spans="1:26" x14ac:dyDescent="0.2">
      <c r="A687" s="148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8"/>
    </row>
    <row r="688" spans="1:26" x14ac:dyDescent="0.2">
      <c r="A688" s="148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8"/>
    </row>
    <row r="689" spans="1:26" x14ac:dyDescent="0.2">
      <c r="A689" s="148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8"/>
    </row>
    <row r="690" spans="1:26" x14ac:dyDescent="0.2">
      <c r="A690" s="148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8"/>
    </row>
    <row r="691" spans="1:26" x14ac:dyDescent="0.2">
      <c r="A691" s="148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8"/>
    </row>
    <row r="692" spans="1:26" x14ac:dyDescent="0.2">
      <c r="A692" s="148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8"/>
    </row>
    <row r="693" spans="1:26" x14ac:dyDescent="0.2">
      <c r="A693" s="148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8"/>
    </row>
    <row r="694" spans="1:26" x14ac:dyDescent="0.2">
      <c r="A694" s="148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8"/>
    </row>
    <row r="695" spans="1:26" x14ac:dyDescent="0.2">
      <c r="A695" s="148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8"/>
    </row>
    <row r="696" spans="1:26" x14ac:dyDescent="0.2">
      <c r="A696" s="148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8"/>
    </row>
    <row r="697" spans="1:26" x14ac:dyDescent="0.2">
      <c r="A697" s="148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8"/>
    </row>
    <row r="698" spans="1:26" x14ac:dyDescent="0.2">
      <c r="A698" s="148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8"/>
    </row>
    <row r="699" spans="1:26" x14ac:dyDescent="0.2">
      <c r="A699" s="148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8"/>
    </row>
    <row r="700" spans="1:26" x14ac:dyDescent="0.2">
      <c r="A700" s="148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8"/>
    </row>
    <row r="701" spans="1:26" x14ac:dyDescent="0.2">
      <c r="A701" s="148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8"/>
    </row>
    <row r="702" spans="1:26" x14ac:dyDescent="0.2">
      <c r="A702" s="148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8"/>
    </row>
    <row r="703" spans="1:26" x14ac:dyDescent="0.2">
      <c r="A703" s="148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8"/>
    </row>
    <row r="704" spans="1:26" x14ac:dyDescent="0.2">
      <c r="A704" s="148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8"/>
    </row>
    <row r="705" spans="1:26" x14ac:dyDescent="0.2">
      <c r="A705" s="148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8"/>
    </row>
    <row r="706" spans="1:26" x14ac:dyDescent="0.2">
      <c r="A706" s="148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8"/>
    </row>
    <row r="707" spans="1:26" x14ac:dyDescent="0.2">
      <c r="A707" s="148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8"/>
    </row>
    <row r="708" spans="1:26" x14ac:dyDescent="0.2">
      <c r="A708" s="148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8"/>
    </row>
    <row r="709" spans="1:26" x14ac:dyDescent="0.2">
      <c r="A709" s="148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8"/>
    </row>
    <row r="710" spans="1:26" x14ac:dyDescent="0.2">
      <c r="A710" s="148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8"/>
    </row>
    <row r="711" spans="1:26" x14ac:dyDescent="0.2">
      <c r="A711" s="148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8"/>
    </row>
    <row r="712" spans="1:26" x14ac:dyDescent="0.2">
      <c r="A712" s="148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8"/>
    </row>
    <row r="713" spans="1:26" x14ac:dyDescent="0.2">
      <c r="A713" s="148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8"/>
    </row>
    <row r="714" spans="1:26" x14ac:dyDescent="0.2">
      <c r="A714" s="148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8"/>
    </row>
    <row r="715" spans="1:26" x14ac:dyDescent="0.2">
      <c r="A715" s="148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8"/>
    </row>
    <row r="716" spans="1:26" x14ac:dyDescent="0.2">
      <c r="A716" s="148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8"/>
    </row>
    <row r="717" spans="1:26" x14ac:dyDescent="0.2">
      <c r="A717" s="148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8"/>
    </row>
    <row r="718" spans="1:26" x14ac:dyDescent="0.2">
      <c r="A718" s="148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8"/>
    </row>
    <row r="719" spans="1:26" x14ac:dyDescent="0.2">
      <c r="A719" s="148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8"/>
    </row>
    <row r="720" spans="1:26" x14ac:dyDescent="0.2">
      <c r="A720" s="148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8"/>
    </row>
    <row r="721" spans="1:26" x14ac:dyDescent="0.2">
      <c r="A721" s="148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8"/>
    </row>
    <row r="722" spans="1:26" x14ac:dyDescent="0.2">
      <c r="A722" s="148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8"/>
    </row>
    <row r="723" spans="1:26" x14ac:dyDescent="0.2">
      <c r="A723" s="148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8"/>
    </row>
    <row r="724" spans="1:26" x14ac:dyDescent="0.2">
      <c r="A724" s="148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8"/>
    </row>
    <row r="725" spans="1:26" x14ac:dyDescent="0.2">
      <c r="A725" s="148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8"/>
    </row>
    <row r="726" spans="1:26" x14ac:dyDescent="0.2">
      <c r="A726" s="148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8"/>
    </row>
    <row r="727" spans="1:26" x14ac:dyDescent="0.2">
      <c r="A727" s="148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8"/>
    </row>
    <row r="728" spans="1:26" x14ac:dyDescent="0.2">
      <c r="A728" s="148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8"/>
    </row>
    <row r="729" spans="1:26" x14ac:dyDescent="0.2">
      <c r="A729" s="148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8"/>
    </row>
    <row r="730" spans="1:26" x14ac:dyDescent="0.2">
      <c r="A730" s="148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8"/>
    </row>
    <row r="731" spans="1:26" x14ac:dyDescent="0.2">
      <c r="A731" s="148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8"/>
    </row>
    <row r="732" spans="1:26" x14ac:dyDescent="0.2">
      <c r="A732" s="148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8"/>
    </row>
    <row r="733" spans="1:26" x14ac:dyDescent="0.2">
      <c r="A733" s="148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8"/>
    </row>
    <row r="734" spans="1:26" x14ac:dyDescent="0.2">
      <c r="A734" s="148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8"/>
    </row>
    <row r="735" spans="1:26" x14ac:dyDescent="0.2">
      <c r="A735" s="148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8"/>
    </row>
    <row r="736" spans="1:26" x14ac:dyDescent="0.2">
      <c r="A736" s="148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8"/>
    </row>
    <row r="737" spans="1:26" x14ac:dyDescent="0.2">
      <c r="A737" s="148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8"/>
    </row>
    <row r="738" spans="1:26" x14ac:dyDescent="0.2">
      <c r="A738" s="148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8"/>
    </row>
    <row r="739" spans="1:26" x14ac:dyDescent="0.2">
      <c r="A739" s="148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8"/>
    </row>
    <row r="740" spans="1:26" x14ac:dyDescent="0.2">
      <c r="A740" s="148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8"/>
    </row>
    <row r="741" spans="1:26" x14ac:dyDescent="0.2">
      <c r="A741" s="148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8"/>
    </row>
    <row r="742" spans="1:26" x14ac:dyDescent="0.2">
      <c r="A742" s="148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8"/>
    </row>
    <row r="743" spans="1:26" x14ac:dyDescent="0.2">
      <c r="A743" s="148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8"/>
    </row>
    <row r="744" spans="1:26" x14ac:dyDescent="0.2">
      <c r="A744" s="148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8"/>
    </row>
    <row r="745" spans="1:26" x14ac:dyDescent="0.2">
      <c r="A745" s="148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8"/>
    </row>
    <row r="746" spans="1:26" x14ac:dyDescent="0.2">
      <c r="A746" s="148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8"/>
    </row>
    <row r="747" spans="1:26" x14ac:dyDescent="0.2">
      <c r="A747" s="148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8"/>
    </row>
    <row r="748" spans="1:26" x14ac:dyDescent="0.2">
      <c r="A748" s="148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8"/>
    </row>
    <row r="749" spans="1:26" x14ac:dyDescent="0.2">
      <c r="A749" s="148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8"/>
    </row>
    <row r="750" spans="1:26" x14ac:dyDescent="0.2">
      <c r="A750" s="148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8"/>
    </row>
    <row r="751" spans="1:26" x14ac:dyDescent="0.2">
      <c r="A751" s="148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8"/>
    </row>
    <row r="752" spans="1:26" x14ac:dyDescent="0.2">
      <c r="A752" s="148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8"/>
    </row>
    <row r="753" spans="1:26" x14ac:dyDescent="0.2">
      <c r="A753" s="148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8"/>
    </row>
    <row r="754" spans="1:26" x14ac:dyDescent="0.2">
      <c r="A754" s="148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8"/>
    </row>
    <row r="755" spans="1:26" x14ac:dyDescent="0.2">
      <c r="A755" s="148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8"/>
    </row>
    <row r="756" spans="1:26" x14ac:dyDescent="0.2">
      <c r="A756" s="148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8"/>
    </row>
    <row r="757" spans="1:26" x14ac:dyDescent="0.2">
      <c r="A757" s="148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8"/>
    </row>
    <row r="758" spans="1:26" x14ac:dyDescent="0.2">
      <c r="A758" s="148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8"/>
    </row>
    <row r="759" spans="1:26" x14ac:dyDescent="0.2">
      <c r="A759" s="148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8"/>
    </row>
    <row r="760" spans="1:26" x14ac:dyDescent="0.2">
      <c r="A760" s="148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8"/>
    </row>
    <row r="761" spans="1:26" x14ac:dyDescent="0.2">
      <c r="A761" s="148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8"/>
    </row>
    <row r="762" spans="1:26" x14ac:dyDescent="0.2">
      <c r="A762" s="148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8"/>
    </row>
    <row r="763" spans="1:26" x14ac:dyDescent="0.2">
      <c r="A763" s="148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8"/>
    </row>
    <row r="764" spans="1:26" x14ac:dyDescent="0.2">
      <c r="A764" s="148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8"/>
    </row>
    <row r="765" spans="1:26" x14ac:dyDescent="0.2">
      <c r="A765" s="148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8"/>
    </row>
    <row r="766" spans="1:26" x14ac:dyDescent="0.2">
      <c r="A766" s="148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8"/>
    </row>
    <row r="767" spans="1:26" x14ac:dyDescent="0.2">
      <c r="A767" s="148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8"/>
    </row>
    <row r="768" spans="1:26" x14ac:dyDescent="0.2">
      <c r="A768" s="148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8"/>
    </row>
    <row r="769" spans="1:26" x14ac:dyDescent="0.2">
      <c r="A769" s="148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8"/>
    </row>
    <row r="770" spans="1:26" x14ac:dyDescent="0.2">
      <c r="A770" s="148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8"/>
    </row>
    <row r="771" spans="1:26" x14ac:dyDescent="0.2">
      <c r="A771" s="148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8"/>
    </row>
    <row r="772" spans="1:26" x14ac:dyDescent="0.2">
      <c r="A772" s="148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8"/>
    </row>
    <row r="773" spans="1:26" x14ac:dyDescent="0.2">
      <c r="A773" s="148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8"/>
    </row>
    <row r="774" spans="1:26" x14ac:dyDescent="0.2">
      <c r="A774" s="148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8"/>
    </row>
    <row r="775" spans="1:26" x14ac:dyDescent="0.2">
      <c r="A775" s="148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8"/>
    </row>
    <row r="776" spans="1:26" x14ac:dyDescent="0.2">
      <c r="A776" s="148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8"/>
    </row>
    <row r="777" spans="1:26" x14ac:dyDescent="0.2">
      <c r="A777" s="148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8"/>
    </row>
    <row r="778" spans="1:26" x14ac:dyDescent="0.2">
      <c r="A778" s="148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8"/>
    </row>
    <row r="779" spans="1:26" x14ac:dyDescent="0.2">
      <c r="A779" s="148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8"/>
    </row>
    <row r="780" spans="1:26" x14ac:dyDescent="0.2">
      <c r="A780" s="148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8"/>
    </row>
    <row r="781" spans="1:26" x14ac:dyDescent="0.2">
      <c r="A781" s="148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8"/>
    </row>
    <row r="782" spans="1:26" x14ac:dyDescent="0.2">
      <c r="A782" s="148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8"/>
    </row>
    <row r="783" spans="1:26" x14ac:dyDescent="0.2">
      <c r="A783" s="148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8"/>
    </row>
    <row r="784" spans="1:26" x14ac:dyDescent="0.2">
      <c r="A784" s="148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8"/>
    </row>
    <row r="785" spans="1:26" x14ac:dyDescent="0.2">
      <c r="A785" s="148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8"/>
    </row>
    <row r="786" spans="1:26" x14ac:dyDescent="0.2">
      <c r="A786" s="148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8"/>
    </row>
    <row r="787" spans="1:26" x14ac:dyDescent="0.2">
      <c r="A787" s="148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8"/>
    </row>
    <row r="788" spans="1:26" x14ac:dyDescent="0.2">
      <c r="A788" s="148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8"/>
    </row>
    <row r="789" spans="1:26" x14ac:dyDescent="0.2">
      <c r="A789" s="148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8"/>
    </row>
    <row r="790" spans="1:26" x14ac:dyDescent="0.2">
      <c r="A790" s="148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8"/>
    </row>
    <row r="791" spans="1:26" x14ac:dyDescent="0.2">
      <c r="A791" s="148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8"/>
    </row>
    <row r="792" spans="1:26" x14ac:dyDescent="0.2">
      <c r="A792" s="148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8"/>
    </row>
    <row r="793" spans="1:26" x14ac:dyDescent="0.2">
      <c r="A793" s="148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8"/>
    </row>
    <row r="794" spans="1:26" x14ac:dyDescent="0.2">
      <c r="A794" s="148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8"/>
    </row>
    <row r="795" spans="1:26" x14ac:dyDescent="0.2">
      <c r="A795" s="148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8"/>
    </row>
    <row r="796" spans="1:26" x14ac:dyDescent="0.2">
      <c r="A796" s="148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8"/>
    </row>
    <row r="797" spans="1:26" x14ac:dyDescent="0.2">
      <c r="A797" s="148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8"/>
    </row>
    <row r="798" spans="1:26" x14ac:dyDescent="0.2">
      <c r="A798" s="148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8"/>
    </row>
    <row r="799" spans="1:26" x14ac:dyDescent="0.2">
      <c r="A799" s="148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8"/>
    </row>
    <row r="800" spans="1:26" x14ac:dyDescent="0.2">
      <c r="A800" s="148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8"/>
    </row>
    <row r="801" spans="1:26" x14ac:dyDescent="0.2">
      <c r="A801" s="148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8"/>
    </row>
    <row r="802" spans="1:26" x14ac:dyDescent="0.2">
      <c r="A802" s="148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8"/>
    </row>
    <row r="803" spans="1:26" x14ac:dyDescent="0.2">
      <c r="A803" s="148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8"/>
    </row>
    <row r="804" spans="1:26" x14ac:dyDescent="0.2">
      <c r="A804" s="148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8"/>
    </row>
    <row r="805" spans="1:26" x14ac:dyDescent="0.2">
      <c r="A805" s="148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8"/>
    </row>
    <row r="806" spans="1:26" x14ac:dyDescent="0.2">
      <c r="A806" s="148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8"/>
    </row>
    <row r="807" spans="1:26" x14ac:dyDescent="0.2">
      <c r="A807" s="148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8"/>
    </row>
    <row r="808" spans="1:26" x14ac:dyDescent="0.2">
      <c r="A808" s="148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8"/>
    </row>
    <row r="809" spans="1:26" x14ac:dyDescent="0.2">
      <c r="A809" s="148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8"/>
    </row>
    <row r="810" spans="1:26" x14ac:dyDescent="0.2">
      <c r="A810" s="148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8"/>
    </row>
    <row r="811" spans="1:26" x14ac:dyDescent="0.2">
      <c r="A811" s="148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8"/>
    </row>
    <row r="812" spans="1:26" x14ac:dyDescent="0.2">
      <c r="A812" s="148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8"/>
    </row>
    <row r="813" spans="1:26" x14ac:dyDescent="0.2">
      <c r="A813" s="148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8"/>
    </row>
    <row r="814" spans="1:26" x14ac:dyDescent="0.2">
      <c r="A814" s="148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8"/>
    </row>
    <row r="815" spans="1:26" x14ac:dyDescent="0.2">
      <c r="A815" s="148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8"/>
    </row>
    <row r="816" spans="1:26" x14ac:dyDescent="0.2">
      <c r="A816" s="148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8"/>
    </row>
    <row r="817" spans="1:26" x14ac:dyDescent="0.2">
      <c r="A817" s="148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8"/>
    </row>
    <row r="818" spans="1:26" x14ac:dyDescent="0.2">
      <c r="A818" s="148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8"/>
    </row>
    <row r="819" spans="1:26" x14ac:dyDescent="0.2">
      <c r="A819" s="148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8"/>
    </row>
    <row r="820" spans="1:26" x14ac:dyDescent="0.2">
      <c r="A820" s="148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8"/>
    </row>
    <row r="821" spans="1:26" x14ac:dyDescent="0.2">
      <c r="A821" s="148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8"/>
    </row>
    <row r="822" spans="1:26" x14ac:dyDescent="0.2">
      <c r="A822" s="148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8"/>
    </row>
    <row r="823" spans="1:26" x14ac:dyDescent="0.2">
      <c r="A823" s="148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8"/>
    </row>
    <row r="824" spans="1:26" x14ac:dyDescent="0.2">
      <c r="A824" s="148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8"/>
    </row>
    <row r="825" spans="1:26" x14ac:dyDescent="0.2">
      <c r="A825" s="148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8"/>
    </row>
    <row r="826" spans="1:26" x14ac:dyDescent="0.2">
      <c r="A826" s="148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8"/>
    </row>
    <row r="827" spans="1:26" x14ac:dyDescent="0.2">
      <c r="A827" s="148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8"/>
    </row>
    <row r="828" spans="1:26" x14ac:dyDescent="0.2">
      <c r="A828" s="148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8"/>
    </row>
    <row r="829" spans="1:26" x14ac:dyDescent="0.2">
      <c r="A829" s="148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8"/>
    </row>
    <row r="830" spans="1:26" x14ac:dyDescent="0.2">
      <c r="A830" s="148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8"/>
    </row>
    <row r="831" spans="1:26" x14ac:dyDescent="0.2">
      <c r="A831" s="148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8"/>
    </row>
    <row r="832" spans="1:26" x14ac:dyDescent="0.2">
      <c r="A832" s="148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8"/>
    </row>
    <row r="833" spans="1:26" x14ac:dyDescent="0.2">
      <c r="A833" s="148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8"/>
    </row>
    <row r="834" spans="1:26" x14ac:dyDescent="0.2">
      <c r="A834" s="148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8"/>
    </row>
    <row r="835" spans="1:26" x14ac:dyDescent="0.2">
      <c r="A835" s="148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8"/>
    </row>
    <row r="836" spans="1:26" x14ac:dyDescent="0.2">
      <c r="A836" s="148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8"/>
    </row>
    <row r="837" spans="1:26" x14ac:dyDescent="0.2">
      <c r="A837" s="148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8"/>
    </row>
    <row r="838" spans="1:26" x14ac:dyDescent="0.2">
      <c r="A838" s="148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8"/>
    </row>
    <row r="839" spans="1:26" x14ac:dyDescent="0.2">
      <c r="A839" s="148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8"/>
    </row>
    <row r="840" spans="1:26" x14ac:dyDescent="0.2">
      <c r="A840" s="148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8"/>
    </row>
    <row r="841" spans="1:26" x14ac:dyDescent="0.2">
      <c r="A841" s="148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8"/>
    </row>
    <row r="842" spans="1:26" x14ac:dyDescent="0.2">
      <c r="A842" s="148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8"/>
    </row>
    <row r="843" spans="1:26" x14ac:dyDescent="0.2">
      <c r="A843" s="148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8"/>
    </row>
    <row r="844" spans="1:26" x14ac:dyDescent="0.2">
      <c r="A844" s="148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8"/>
    </row>
    <row r="845" spans="1:26" x14ac:dyDescent="0.2">
      <c r="A845" s="148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8"/>
    </row>
    <row r="846" spans="1:26" x14ac:dyDescent="0.2">
      <c r="A846" s="148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8"/>
    </row>
    <row r="847" spans="1:26" x14ac:dyDescent="0.2">
      <c r="A847" s="148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8"/>
    </row>
    <row r="848" spans="1:26" x14ac:dyDescent="0.2">
      <c r="A848" s="148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8"/>
    </row>
    <row r="849" spans="1:26" x14ac:dyDescent="0.2">
      <c r="A849" s="148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8"/>
    </row>
    <row r="850" spans="1:26" x14ac:dyDescent="0.2">
      <c r="A850" s="148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8"/>
    </row>
    <row r="851" spans="1:26" x14ac:dyDescent="0.2">
      <c r="A851" s="148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8"/>
    </row>
    <row r="852" spans="1:26" x14ac:dyDescent="0.2">
      <c r="A852" s="148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8"/>
    </row>
    <row r="853" spans="1:26" x14ac:dyDescent="0.2">
      <c r="A853" s="148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8"/>
    </row>
    <row r="854" spans="1:26" x14ac:dyDescent="0.2">
      <c r="A854" s="148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8"/>
    </row>
    <row r="855" spans="1:26" x14ac:dyDescent="0.2">
      <c r="A855" s="148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8"/>
    </row>
    <row r="856" spans="1:26" x14ac:dyDescent="0.2">
      <c r="A856" s="148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8"/>
    </row>
    <row r="857" spans="1:26" x14ac:dyDescent="0.2">
      <c r="A857" s="148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8"/>
    </row>
    <row r="858" spans="1:26" x14ac:dyDescent="0.2">
      <c r="A858" s="148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8"/>
    </row>
    <row r="859" spans="1:26" x14ac:dyDescent="0.2">
      <c r="A859" s="148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8"/>
    </row>
    <row r="860" spans="1:26" x14ac:dyDescent="0.2">
      <c r="A860" s="148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8"/>
    </row>
    <row r="861" spans="1:26" x14ac:dyDescent="0.2">
      <c r="A861" s="148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8"/>
    </row>
    <row r="862" spans="1:26" x14ac:dyDescent="0.2">
      <c r="A862" s="148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8"/>
    </row>
    <row r="863" spans="1:26" x14ac:dyDescent="0.2">
      <c r="A863" s="148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8"/>
    </row>
    <row r="864" spans="1:26" x14ac:dyDescent="0.2">
      <c r="A864" s="148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8"/>
    </row>
    <row r="865" spans="1:26" x14ac:dyDescent="0.2">
      <c r="A865" s="148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8"/>
    </row>
    <row r="866" spans="1:26" x14ac:dyDescent="0.2">
      <c r="A866" s="148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8"/>
    </row>
    <row r="867" spans="1:26" x14ac:dyDescent="0.2">
      <c r="A867" s="148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8"/>
    </row>
    <row r="868" spans="1:26" x14ac:dyDescent="0.2">
      <c r="A868" s="148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8"/>
    </row>
    <row r="869" spans="1:26" x14ac:dyDescent="0.2">
      <c r="A869" s="148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8"/>
    </row>
    <row r="870" spans="1:26" x14ac:dyDescent="0.2">
      <c r="A870" s="148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8"/>
    </row>
    <row r="871" spans="1:26" x14ac:dyDescent="0.2">
      <c r="A871" s="148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8"/>
    </row>
    <row r="872" spans="1:26" x14ac:dyDescent="0.2">
      <c r="A872" s="148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8"/>
    </row>
    <row r="873" spans="1:26" x14ac:dyDescent="0.2">
      <c r="A873" s="148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8"/>
    </row>
    <row r="874" spans="1:26" x14ac:dyDescent="0.2">
      <c r="A874" s="148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8"/>
    </row>
    <row r="875" spans="1:26" x14ac:dyDescent="0.2">
      <c r="A875" s="148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8"/>
    </row>
    <row r="876" spans="1:26" x14ac:dyDescent="0.2">
      <c r="A876" s="148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8"/>
    </row>
    <row r="877" spans="1:26" x14ac:dyDescent="0.2">
      <c r="A877" s="148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8"/>
    </row>
    <row r="878" spans="1:26" x14ac:dyDescent="0.2">
      <c r="A878" s="148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8"/>
    </row>
    <row r="879" spans="1:26" x14ac:dyDescent="0.2">
      <c r="A879" s="148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8"/>
    </row>
    <row r="880" spans="1:26" x14ac:dyDescent="0.2">
      <c r="A880" s="148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8"/>
    </row>
    <row r="881" spans="1:26" x14ac:dyDescent="0.2">
      <c r="A881" s="148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8"/>
    </row>
    <row r="882" spans="1:26" x14ac:dyDescent="0.2">
      <c r="A882" s="148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8"/>
    </row>
    <row r="883" spans="1:26" x14ac:dyDescent="0.2">
      <c r="A883" s="148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8"/>
    </row>
    <row r="884" spans="1:26" x14ac:dyDescent="0.2">
      <c r="A884" s="148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8"/>
    </row>
    <row r="885" spans="1:26" x14ac:dyDescent="0.2">
      <c r="A885" s="148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8"/>
    </row>
    <row r="886" spans="1:26" x14ac:dyDescent="0.2">
      <c r="A886" s="148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8"/>
    </row>
    <row r="887" spans="1:26" x14ac:dyDescent="0.2">
      <c r="A887" s="148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8"/>
    </row>
    <row r="888" spans="1:26" x14ac:dyDescent="0.2">
      <c r="A888" s="148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8"/>
    </row>
    <row r="889" spans="1:26" x14ac:dyDescent="0.2">
      <c r="A889" s="148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8"/>
    </row>
    <row r="890" spans="1:26" x14ac:dyDescent="0.2">
      <c r="A890" s="148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8"/>
    </row>
    <row r="891" spans="1:26" x14ac:dyDescent="0.2">
      <c r="A891" s="148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8"/>
    </row>
    <row r="892" spans="1:26" x14ac:dyDescent="0.2">
      <c r="A892" s="148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8"/>
    </row>
    <row r="893" spans="1:26" x14ac:dyDescent="0.2">
      <c r="A893" s="148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8"/>
    </row>
    <row r="894" spans="1:26" x14ac:dyDescent="0.2">
      <c r="A894" s="148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8"/>
    </row>
    <row r="895" spans="1:26" x14ac:dyDescent="0.2">
      <c r="A895" s="148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8"/>
    </row>
    <row r="896" spans="1:26" x14ac:dyDescent="0.2">
      <c r="A896" s="148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8"/>
    </row>
    <row r="897" spans="1:26" x14ac:dyDescent="0.2">
      <c r="A897" s="148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8"/>
    </row>
    <row r="898" spans="1:26" x14ac:dyDescent="0.2">
      <c r="A898" s="148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8"/>
    </row>
    <row r="899" spans="1:26" x14ac:dyDescent="0.2">
      <c r="A899" s="148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8"/>
    </row>
    <row r="900" spans="1:26" x14ac:dyDescent="0.2">
      <c r="A900" s="148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8"/>
    </row>
    <row r="901" spans="1:26" x14ac:dyDescent="0.2">
      <c r="A901" s="148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8"/>
    </row>
    <row r="902" spans="1:26" x14ac:dyDescent="0.2">
      <c r="A902" s="148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8"/>
    </row>
    <row r="903" spans="1:26" x14ac:dyDescent="0.2">
      <c r="A903" s="148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8"/>
    </row>
    <row r="904" spans="1:26" x14ac:dyDescent="0.2">
      <c r="A904" s="148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8"/>
    </row>
    <row r="905" spans="1:26" x14ac:dyDescent="0.2">
      <c r="A905" s="148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8"/>
    </row>
    <row r="906" spans="1:26" x14ac:dyDescent="0.2">
      <c r="A906" s="148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8"/>
    </row>
    <row r="907" spans="1:26" x14ac:dyDescent="0.2">
      <c r="A907" s="148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8"/>
    </row>
    <row r="908" spans="1:26" x14ac:dyDescent="0.2">
      <c r="A908" s="148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8"/>
    </row>
    <row r="909" spans="1:26" x14ac:dyDescent="0.2">
      <c r="A909" s="148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8"/>
    </row>
    <row r="910" spans="1:26" x14ac:dyDescent="0.2">
      <c r="A910" s="148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8"/>
    </row>
    <row r="911" spans="1:26" x14ac:dyDescent="0.2">
      <c r="A911" s="148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8"/>
    </row>
    <row r="912" spans="1:26" x14ac:dyDescent="0.2">
      <c r="A912" s="148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8"/>
    </row>
    <row r="913" spans="1:26" x14ac:dyDescent="0.2">
      <c r="A913" s="148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8"/>
    </row>
    <row r="914" spans="1:26" x14ac:dyDescent="0.2">
      <c r="A914" s="148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8"/>
    </row>
    <row r="915" spans="1:26" x14ac:dyDescent="0.2">
      <c r="A915" s="148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8"/>
    </row>
    <row r="916" spans="1:26" x14ac:dyDescent="0.2">
      <c r="A916" s="148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8"/>
    </row>
    <row r="917" spans="1:26" x14ac:dyDescent="0.2">
      <c r="A917" s="148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8"/>
    </row>
    <row r="918" spans="1:26" x14ac:dyDescent="0.2">
      <c r="A918" s="148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8"/>
    </row>
    <row r="919" spans="1:26" x14ac:dyDescent="0.2">
      <c r="A919" s="148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8"/>
    </row>
    <row r="920" spans="1:26" x14ac:dyDescent="0.2">
      <c r="A920" s="148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8"/>
    </row>
    <row r="921" spans="1:26" x14ac:dyDescent="0.2">
      <c r="A921" s="148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8"/>
    </row>
    <row r="922" spans="1:26" x14ac:dyDescent="0.2">
      <c r="A922" s="148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8"/>
    </row>
    <row r="923" spans="1:26" x14ac:dyDescent="0.2">
      <c r="A923" s="148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8"/>
    </row>
    <row r="924" spans="1:26" x14ac:dyDescent="0.2">
      <c r="A924" s="148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8"/>
    </row>
    <row r="925" spans="1:26" x14ac:dyDescent="0.2">
      <c r="A925" s="148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8"/>
    </row>
    <row r="926" spans="1:26" x14ac:dyDescent="0.2">
      <c r="A926" s="148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8"/>
    </row>
    <row r="927" spans="1:26" x14ac:dyDescent="0.2">
      <c r="A927" s="148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8"/>
    </row>
    <row r="928" spans="1:26" x14ac:dyDescent="0.2">
      <c r="A928" s="148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8"/>
    </row>
    <row r="929" spans="1:26" x14ac:dyDescent="0.2">
      <c r="A929" s="148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8"/>
    </row>
    <row r="930" spans="1:26" x14ac:dyDescent="0.2">
      <c r="A930" s="148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8"/>
    </row>
    <row r="931" spans="1:26" x14ac:dyDescent="0.2">
      <c r="A931" s="148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8"/>
    </row>
    <row r="932" spans="1:26" x14ac:dyDescent="0.2">
      <c r="A932" s="148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8"/>
    </row>
    <row r="933" spans="1:26" x14ac:dyDescent="0.2">
      <c r="A933" s="148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8"/>
    </row>
    <row r="934" spans="1:26" x14ac:dyDescent="0.2">
      <c r="A934" s="148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8"/>
    </row>
    <row r="935" spans="1:26" x14ac:dyDescent="0.2">
      <c r="A935" s="148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8"/>
    </row>
    <row r="936" spans="1:26" x14ac:dyDescent="0.2">
      <c r="A936" s="148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8"/>
    </row>
    <row r="937" spans="1:26" x14ac:dyDescent="0.2">
      <c r="A937" s="148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8"/>
    </row>
    <row r="938" spans="1:26" x14ac:dyDescent="0.2">
      <c r="A938" s="148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8"/>
    </row>
    <row r="939" spans="1:26" x14ac:dyDescent="0.2">
      <c r="A939" s="148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8"/>
    </row>
    <row r="940" spans="1:26" x14ac:dyDescent="0.2">
      <c r="A940" s="148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8"/>
    </row>
    <row r="941" spans="1:26" x14ac:dyDescent="0.2">
      <c r="A941" s="148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8"/>
    </row>
    <row r="942" spans="1:26" x14ac:dyDescent="0.2">
      <c r="A942" s="148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8"/>
    </row>
    <row r="943" spans="1:26" x14ac:dyDescent="0.2">
      <c r="A943" s="148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8"/>
    </row>
    <row r="944" spans="1:26" x14ac:dyDescent="0.2">
      <c r="A944" s="148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8"/>
    </row>
    <row r="945" spans="1:26" x14ac:dyDescent="0.2">
      <c r="A945" s="148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8"/>
    </row>
    <row r="946" spans="1:26" x14ac:dyDescent="0.2">
      <c r="A946" s="148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8"/>
    </row>
    <row r="947" spans="1:26" x14ac:dyDescent="0.2">
      <c r="A947" s="148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8"/>
    </row>
    <row r="948" spans="1:26" x14ac:dyDescent="0.2">
      <c r="A948" s="148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8"/>
    </row>
    <row r="949" spans="1:26" x14ac:dyDescent="0.2">
      <c r="A949" s="148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8"/>
    </row>
    <row r="950" spans="1:26" x14ac:dyDescent="0.2">
      <c r="A950" s="148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8"/>
    </row>
    <row r="951" spans="1:26" x14ac:dyDescent="0.2">
      <c r="A951" s="148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8"/>
    </row>
    <row r="952" spans="1:26" x14ac:dyDescent="0.2">
      <c r="A952" s="148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8"/>
    </row>
    <row r="953" spans="1:26" x14ac:dyDescent="0.2">
      <c r="A953" s="148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8"/>
    </row>
    <row r="954" spans="1:26" x14ac:dyDescent="0.2">
      <c r="A954" s="148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8"/>
    </row>
    <row r="955" spans="1:26" x14ac:dyDescent="0.2">
      <c r="A955" s="148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8"/>
    </row>
    <row r="956" spans="1:26" x14ac:dyDescent="0.2">
      <c r="A956" s="148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8"/>
    </row>
    <row r="957" spans="1:26" x14ac:dyDescent="0.2">
      <c r="A957" s="148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8"/>
    </row>
    <row r="958" spans="1:26" x14ac:dyDescent="0.2">
      <c r="A958" s="148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8"/>
    </row>
    <row r="959" spans="1:26" x14ac:dyDescent="0.2">
      <c r="A959" s="148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8"/>
    </row>
    <row r="960" spans="1:26" x14ac:dyDescent="0.2">
      <c r="A960" s="148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8"/>
    </row>
    <row r="961" spans="1:26" x14ac:dyDescent="0.2">
      <c r="A961" s="148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8"/>
    </row>
    <row r="962" spans="1:26" x14ac:dyDescent="0.2">
      <c r="A962" s="148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8"/>
    </row>
    <row r="963" spans="1:26" x14ac:dyDescent="0.2">
      <c r="A963" s="148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8"/>
    </row>
    <row r="964" spans="1:26" x14ac:dyDescent="0.2">
      <c r="A964" s="148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8"/>
    </row>
    <row r="965" spans="1:26" x14ac:dyDescent="0.2">
      <c r="A965" s="148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8"/>
    </row>
    <row r="966" spans="1:26" x14ac:dyDescent="0.2">
      <c r="A966" s="148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8"/>
    </row>
    <row r="967" spans="1:26" x14ac:dyDescent="0.2">
      <c r="A967" s="148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8"/>
    </row>
    <row r="968" spans="1:26" x14ac:dyDescent="0.2">
      <c r="A968" s="148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8"/>
    </row>
    <row r="969" spans="1:26" x14ac:dyDescent="0.2">
      <c r="A969" s="148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8"/>
    </row>
    <row r="970" spans="1:26" x14ac:dyDescent="0.2">
      <c r="A970" s="148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8"/>
    </row>
    <row r="971" spans="1:26" x14ac:dyDescent="0.2">
      <c r="A971" s="148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8"/>
    </row>
    <row r="972" spans="1:26" x14ac:dyDescent="0.2">
      <c r="A972" s="148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8"/>
    </row>
    <row r="973" spans="1:26" x14ac:dyDescent="0.2">
      <c r="A973" s="148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8"/>
    </row>
    <row r="974" spans="1:26" x14ac:dyDescent="0.2">
      <c r="A974" s="148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8"/>
    </row>
    <row r="975" spans="1:26" x14ac:dyDescent="0.2">
      <c r="A975" s="148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8"/>
    </row>
    <row r="976" spans="1:26" x14ac:dyDescent="0.2">
      <c r="A976" s="148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8"/>
    </row>
    <row r="977" spans="1:26" x14ac:dyDescent="0.2">
      <c r="A977" s="148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8"/>
    </row>
    <row r="978" spans="1:26" x14ac:dyDescent="0.2">
      <c r="A978" s="148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8"/>
    </row>
    <row r="979" spans="1:26" x14ac:dyDescent="0.2">
      <c r="A979" s="148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8"/>
    </row>
    <row r="980" spans="1:26" x14ac:dyDescent="0.2">
      <c r="A980" s="148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8"/>
    </row>
    <row r="981" spans="1:26" x14ac:dyDescent="0.2">
      <c r="A981" s="148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8"/>
    </row>
    <row r="982" spans="1:26" x14ac:dyDescent="0.2">
      <c r="A982" s="148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8"/>
    </row>
    <row r="983" spans="1:26" x14ac:dyDescent="0.2">
      <c r="A983" s="148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8"/>
    </row>
    <row r="984" spans="1:26" x14ac:dyDescent="0.2">
      <c r="A984" s="148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8"/>
    </row>
    <row r="985" spans="1:26" x14ac:dyDescent="0.2">
      <c r="A985" s="148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8"/>
    </row>
    <row r="986" spans="1:26" x14ac:dyDescent="0.2">
      <c r="A986" s="148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8"/>
    </row>
    <row r="987" spans="1:26" x14ac:dyDescent="0.2">
      <c r="A987" s="67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149"/>
    </row>
  </sheetData>
  <mergeCells count="20">
    <mergeCell ref="B122:B123"/>
    <mergeCell ref="A123:A124"/>
    <mergeCell ref="B102:B103"/>
    <mergeCell ref="A103:A104"/>
    <mergeCell ref="B110:B111"/>
    <mergeCell ref="B114:B115"/>
    <mergeCell ref="B118:B119"/>
    <mergeCell ref="A119:A120"/>
    <mergeCell ref="A82:A84"/>
    <mergeCell ref="A87:A88"/>
    <mergeCell ref="B90:B91"/>
    <mergeCell ref="B94:B95"/>
    <mergeCell ref="B98:B99"/>
    <mergeCell ref="A99:A100"/>
    <mergeCell ref="A3:A6"/>
    <mergeCell ref="A31:A34"/>
    <mergeCell ref="A59:A62"/>
    <mergeCell ref="A67:A69"/>
    <mergeCell ref="A72:A74"/>
    <mergeCell ref="A77:A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35CF-A4D0-479A-BD06-208DA7167BD6}">
  <dimension ref="A1:L20"/>
  <sheetViews>
    <sheetView workbookViewId="0">
      <selection activeCell="D11" sqref="D11"/>
    </sheetView>
  </sheetViews>
  <sheetFormatPr defaultRowHeight="15" x14ac:dyDescent="0.35"/>
  <cols>
    <col min="1" max="1" width="10.75" style="19" customWidth="1"/>
    <col min="2" max="2" width="9.875" style="3" customWidth="1"/>
    <col min="3" max="3" width="11" style="3" customWidth="1"/>
    <col min="4" max="4" width="12.75" style="3" customWidth="1"/>
    <col min="5" max="5" width="12.125" style="3" customWidth="1"/>
    <col min="6" max="6" width="9.5" style="3" customWidth="1"/>
    <col min="7" max="7" width="10.25" style="3" customWidth="1"/>
    <col min="8" max="8" width="11" style="3" customWidth="1"/>
    <col min="9" max="9" width="12.5" style="3" customWidth="1"/>
    <col min="10" max="10" width="11.375" style="3" customWidth="1"/>
    <col min="11" max="11" width="13.875" style="3" customWidth="1"/>
    <col min="12" max="256" width="9" style="3"/>
    <col min="257" max="257" width="10.75" style="3" customWidth="1"/>
    <col min="258" max="258" width="9.875" style="3" customWidth="1"/>
    <col min="259" max="259" width="11" style="3" customWidth="1"/>
    <col min="260" max="260" width="12.75" style="3" customWidth="1"/>
    <col min="261" max="261" width="12.125" style="3" customWidth="1"/>
    <col min="262" max="262" width="9.5" style="3" customWidth="1"/>
    <col min="263" max="263" width="10.25" style="3" customWidth="1"/>
    <col min="264" max="264" width="11" style="3" customWidth="1"/>
    <col min="265" max="265" width="12.5" style="3" customWidth="1"/>
    <col min="266" max="266" width="11.375" style="3" customWidth="1"/>
    <col min="267" max="267" width="13.875" style="3" customWidth="1"/>
    <col min="268" max="512" width="9" style="3"/>
    <col min="513" max="513" width="10.75" style="3" customWidth="1"/>
    <col min="514" max="514" width="9.875" style="3" customWidth="1"/>
    <col min="515" max="515" width="11" style="3" customWidth="1"/>
    <col min="516" max="516" width="12.75" style="3" customWidth="1"/>
    <col min="517" max="517" width="12.125" style="3" customWidth="1"/>
    <col min="518" max="518" width="9.5" style="3" customWidth="1"/>
    <col min="519" max="519" width="10.25" style="3" customWidth="1"/>
    <col min="520" max="520" width="11" style="3" customWidth="1"/>
    <col min="521" max="521" width="12.5" style="3" customWidth="1"/>
    <col min="522" max="522" width="11.375" style="3" customWidth="1"/>
    <col min="523" max="523" width="13.875" style="3" customWidth="1"/>
    <col min="524" max="768" width="9" style="3"/>
    <col min="769" max="769" width="10.75" style="3" customWidth="1"/>
    <col min="770" max="770" width="9.875" style="3" customWidth="1"/>
    <col min="771" max="771" width="11" style="3" customWidth="1"/>
    <col min="772" max="772" width="12.75" style="3" customWidth="1"/>
    <col min="773" max="773" width="12.125" style="3" customWidth="1"/>
    <col min="774" max="774" width="9.5" style="3" customWidth="1"/>
    <col min="775" max="775" width="10.25" style="3" customWidth="1"/>
    <col min="776" max="776" width="11" style="3" customWidth="1"/>
    <col min="777" max="777" width="12.5" style="3" customWidth="1"/>
    <col min="778" max="778" width="11.375" style="3" customWidth="1"/>
    <col min="779" max="779" width="13.875" style="3" customWidth="1"/>
    <col min="780" max="1024" width="9" style="3"/>
    <col min="1025" max="1025" width="10.75" style="3" customWidth="1"/>
    <col min="1026" max="1026" width="9.875" style="3" customWidth="1"/>
    <col min="1027" max="1027" width="11" style="3" customWidth="1"/>
    <col min="1028" max="1028" width="12.75" style="3" customWidth="1"/>
    <col min="1029" max="1029" width="12.125" style="3" customWidth="1"/>
    <col min="1030" max="1030" width="9.5" style="3" customWidth="1"/>
    <col min="1031" max="1031" width="10.25" style="3" customWidth="1"/>
    <col min="1032" max="1032" width="11" style="3" customWidth="1"/>
    <col min="1033" max="1033" width="12.5" style="3" customWidth="1"/>
    <col min="1034" max="1034" width="11.375" style="3" customWidth="1"/>
    <col min="1035" max="1035" width="13.875" style="3" customWidth="1"/>
    <col min="1036" max="1280" width="9" style="3"/>
    <col min="1281" max="1281" width="10.75" style="3" customWidth="1"/>
    <col min="1282" max="1282" width="9.875" style="3" customWidth="1"/>
    <col min="1283" max="1283" width="11" style="3" customWidth="1"/>
    <col min="1284" max="1284" width="12.75" style="3" customWidth="1"/>
    <col min="1285" max="1285" width="12.125" style="3" customWidth="1"/>
    <col min="1286" max="1286" width="9.5" style="3" customWidth="1"/>
    <col min="1287" max="1287" width="10.25" style="3" customWidth="1"/>
    <col min="1288" max="1288" width="11" style="3" customWidth="1"/>
    <col min="1289" max="1289" width="12.5" style="3" customWidth="1"/>
    <col min="1290" max="1290" width="11.375" style="3" customWidth="1"/>
    <col min="1291" max="1291" width="13.875" style="3" customWidth="1"/>
    <col min="1292" max="1536" width="9" style="3"/>
    <col min="1537" max="1537" width="10.75" style="3" customWidth="1"/>
    <col min="1538" max="1538" width="9.875" style="3" customWidth="1"/>
    <col min="1539" max="1539" width="11" style="3" customWidth="1"/>
    <col min="1540" max="1540" width="12.75" style="3" customWidth="1"/>
    <col min="1541" max="1541" width="12.125" style="3" customWidth="1"/>
    <col min="1542" max="1542" width="9.5" style="3" customWidth="1"/>
    <col min="1543" max="1543" width="10.25" style="3" customWidth="1"/>
    <col min="1544" max="1544" width="11" style="3" customWidth="1"/>
    <col min="1545" max="1545" width="12.5" style="3" customWidth="1"/>
    <col min="1546" max="1546" width="11.375" style="3" customWidth="1"/>
    <col min="1547" max="1547" width="13.875" style="3" customWidth="1"/>
    <col min="1548" max="1792" width="9" style="3"/>
    <col min="1793" max="1793" width="10.75" style="3" customWidth="1"/>
    <col min="1794" max="1794" width="9.875" style="3" customWidth="1"/>
    <col min="1795" max="1795" width="11" style="3" customWidth="1"/>
    <col min="1796" max="1796" width="12.75" style="3" customWidth="1"/>
    <col min="1797" max="1797" width="12.125" style="3" customWidth="1"/>
    <col min="1798" max="1798" width="9.5" style="3" customWidth="1"/>
    <col min="1799" max="1799" width="10.25" style="3" customWidth="1"/>
    <col min="1800" max="1800" width="11" style="3" customWidth="1"/>
    <col min="1801" max="1801" width="12.5" style="3" customWidth="1"/>
    <col min="1802" max="1802" width="11.375" style="3" customWidth="1"/>
    <col min="1803" max="1803" width="13.875" style="3" customWidth="1"/>
    <col min="1804" max="2048" width="9" style="3"/>
    <col min="2049" max="2049" width="10.75" style="3" customWidth="1"/>
    <col min="2050" max="2050" width="9.875" style="3" customWidth="1"/>
    <col min="2051" max="2051" width="11" style="3" customWidth="1"/>
    <col min="2052" max="2052" width="12.75" style="3" customWidth="1"/>
    <col min="2053" max="2053" width="12.125" style="3" customWidth="1"/>
    <col min="2054" max="2054" width="9.5" style="3" customWidth="1"/>
    <col min="2055" max="2055" width="10.25" style="3" customWidth="1"/>
    <col min="2056" max="2056" width="11" style="3" customWidth="1"/>
    <col min="2057" max="2057" width="12.5" style="3" customWidth="1"/>
    <col min="2058" max="2058" width="11.375" style="3" customWidth="1"/>
    <col min="2059" max="2059" width="13.875" style="3" customWidth="1"/>
    <col min="2060" max="2304" width="9" style="3"/>
    <col min="2305" max="2305" width="10.75" style="3" customWidth="1"/>
    <col min="2306" max="2306" width="9.875" style="3" customWidth="1"/>
    <col min="2307" max="2307" width="11" style="3" customWidth="1"/>
    <col min="2308" max="2308" width="12.75" style="3" customWidth="1"/>
    <col min="2309" max="2309" width="12.125" style="3" customWidth="1"/>
    <col min="2310" max="2310" width="9.5" style="3" customWidth="1"/>
    <col min="2311" max="2311" width="10.25" style="3" customWidth="1"/>
    <col min="2312" max="2312" width="11" style="3" customWidth="1"/>
    <col min="2313" max="2313" width="12.5" style="3" customWidth="1"/>
    <col min="2314" max="2314" width="11.375" style="3" customWidth="1"/>
    <col min="2315" max="2315" width="13.875" style="3" customWidth="1"/>
    <col min="2316" max="2560" width="9" style="3"/>
    <col min="2561" max="2561" width="10.75" style="3" customWidth="1"/>
    <col min="2562" max="2562" width="9.875" style="3" customWidth="1"/>
    <col min="2563" max="2563" width="11" style="3" customWidth="1"/>
    <col min="2564" max="2564" width="12.75" style="3" customWidth="1"/>
    <col min="2565" max="2565" width="12.125" style="3" customWidth="1"/>
    <col min="2566" max="2566" width="9.5" style="3" customWidth="1"/>
    <col min="2567" max="2567" width="10.25" style="3" customWidth="1"/>
    <col min="2568" max="2568" width="11" style="3" customWidth="1"/>
    <col min="2569" max="2569" width="12.5" style="3" customWidth="1"/>
    <col min="2570" max="2570" width="11.375" style="3" customWidth="1"/>
    <col min="2571" max="2571" width="13.875" style="3" customWidth="1"/>
    <col min="2572" max="2816" width="9" style="3"/>
    <col min="2817" max="2817" width="10.75" style="3" customWidth="1"/>
    <col min="2818" max="2818" width="9.875" style="3" customWidth="1"/>
    <col min="2819" max="2819" width="11" style="3" customWidth="1"/>
    <col min="2820" max="2820" width="12.75" style="3" customWidth="1"/>
    <col min="2821" max="2821" width="12.125" style="3" customWidth="1"/>
    <col min="2822" max="2822" width="9.5" style="3" customWidth="1"/>
    <col min="2823" max="2823" width="10.25" style="3" customWidth="1"/>
    <col min="2824" max="2824" width="11" style="3" customWidth="1"/>
    <col min="2825" max="2825" width="12.5" style="3" customWidth="1"/>
    <col min="2826" max="2826" width="11.375" style="3" customWidth="1"/>
    <col min="2827" max="2827" width="13.875" style="3" customWidth="1"/>
    <col min="2828" max="3072" width="9" style="3"/>
    <col min="3073" max="3073" width="10.75" style="3" customWidth="1"/>
    <col min="3074" max="3074" width="9.875" style="3" customWidth="1"/>
    <col min="3075" max="3075" width="11" style="3" customWidth="1"/>
    <col min="3076" max="3076" width="12.75" style="3" customWidth="1"/>
    <col min="3077" max="3077" width="12.125" style="3" customWidth="1"/>
    <col min="3078" max="3078" width="9.5" style="3" customWidth="1"/>
    <col min="3079" max="3079" width="10.25" style="3" customWidth="1"/>
    <col min="3080" max="3080" width="11" style="3" customWidth="1"/>
    <col min="3081" max="3081" width="12.5" style="3" customWidth="1"/>
    <col min="3082" max="3082" width="11.375" style="3" customWidth="1"/>
    <col min="3083" max="3083" width="13.875" style="3" customWidth="1"/>
    <col min="3084" max="3328" width="9" style="3"/>
    <col min="3329" max="3329" width="10.75" style="3" customWidth="1"/>
    <col min="3330" max="3330" width="9.875" style="3" customWidth="1"/>
    <col min="3331" max="3331" width="11" style="3" customWidth="1"/>
    <col min="3332" max="3332" width="12.75" style="3" customWidth="1"/>
    <col min="3333" max="3333" width="12.125" style="3" customWidth="1"/>
    <col min="3334" max="3334" width="9.5" style="3" customWidth="1"/>
    <col min="3335" max="3335" width="10.25" style="3" customWidth="1"/>
    <col min="3336" max="3336" width="11" style="3" customWidth="1"/>
    <col min="3337" max="3337" width="12.5" style="3" customWidth="1"/>
    <col min="3338" max="3338" width="11.375" style="3" customWidth="1"/>
    <col min="3339" max="3339" width="13.875" style="3" customWidth="1"/>
    <col min="3340" max="3584" width="9" style="3"/>
    <col min="3585" max="3585" width="10.75" style="3" customWidth="1"/>
    <col min="3586" max="3586" width="9.875" style="3" customWidth="1"/>
    <col min="3587" max="3587" width="11" style="3" customWidth="1"/>
    <col min="3588" max="3588" width="12.75" style="3" customWidth="1"/>
    <col min="3589" max="3589" width="12.125" style="3" customWidth="1"/>
    <col min="3590" max="3590" width="9.5" style="3" customWidth="1"/>
    <col min="3591" max="3591" width="10.25" style="3" customWidth="1"/>
    <col min="3592" max="3592" width="11" style="3" customWidth="1"/>
    <col min="3593" max="3593" width="12.5" style="3" customWidth="1"/>
    <col min="3594" max="3594" width="11.375" style="3" customWidth="1"/>
    <col min="3595" max="3595" width="13.875" style="3" customWidth="1"/>
    <col min="3596" max="3840" width="9" style="3"/>
    <col min="3841" max="3841" width="10.75" style="3" customWidth="1"/>
    <col min="3842" max="3842" width="9.875" style="3" customWidth="1"/>
    <col min="3843" max="3843" width="11" style="3" customWidth="1"/>
    <col min="3844" max="3844" width="12.75" style="3" customWidth="1"/>
    <col min="3845" max="3845" width="12.125" style="3" customWidth="1"/>
    <col min="3846" max="3846" width="9.5" style="3" customWidth="1"/>
    <col min="3847" max="3847" width="10.25" style="3" customWidth="1"/>
    <col min="3848" max="3848" width="11" style="3" customWidth="1"/>
    <col min="3849" max="3849" width="12.5" style="3" customWidth="1"/>
    <col min="3850" max="3850" width="11.375" style="3" customWidth="1"/>
    <col min="3851" max="3851" width="13.875" style="3" customWidth="1"/>
    <col min="3852" max="4096" width="9" style="3"/>
    <col min="4097" max="4097" width="10.75" style="3" customWidth="1"/>
    <col min="4098" max="4098" width="9.875" style="3" customWidth="1"/>
    <col min="4099" max="4099" width="11" style="3" customWidth="1"/>
    <col min="4100" max="4100" width="12.75" style="3" customWidth="1"/>
    <col min="4101" max="4101" width="12.125" style="3" customWidth="1"/>
    <col min="4102" max="4102" width="9.5" style="3" customWidth="1"/>
    <col min="4103" max="4103" width="10.25" style="3" customWidth="1"/>
    <col min="4104" max="4104" width="11" style="3" customWidth="1"/>
    <col min="4105" max="4105" width="12.5" style="3" customWidth="1"/>
    <col min="4106" max="4106" width="11.375" style="3" customWidth="1"/>
    <col min="4107" max="4107" width="13.875" style="3" customWidth="1"/>
    <col min="4108" max="4352" width="9" style="3"/>
    <col min="4353" max="4353" width="10.75" style="3" customWidth="1"/>
    <col min="4354" max="4354" width="9.875" style="3" customWidth="1"/>
    <col min="4355" max="4355" width="11" style="3" customWidth="1"/>
    <col min="4356" max="4356" width="12.75" style="3" customWidth="1"/>
    <col min="4357" max="4357" width="12.125" style="3" customWidth="1"/>
    <col min="4358" max="4358" width="9.5" style="3" customWidth="1"/>
    <col min="4359" max="4359" width="10.25" style="3" customWidth="1"/>
    <col min="4360" max="4360" width="11" style="3" customWidth="1"/>
    <col min="4361" max="4361" width="12.5" style="3" customWidth="1"/>
    <col min="4362" max="4362" width="11.375" style="3" customWidth="1"/>
    <col min="4363" max="4363" width="13.875" style="3" customWidth="1"/>
    <col min="4364" max="4608" width="9" style="3"/>
    <col min="4609" max="4609" width="10.75" style="3" customWidth="1"/>
    <col min="4610" max="4610" width="9.875" style="3" customWidth="1"/>
    <col min="4611" max="4611" width="11" style="3" customWidth="1"/>
    <col min="4612" max="4612" width="12.75" style="3" customWidth="1"/>
    <col min="4613" max="4613" width="12.125" style="3" customWidth="1"/>
    <col min="4614" max="4614" width="9.5" style="3" customWidth="1"/>
    <col min="4615" max="4615" width="10.25" style="3" customWidth="1"/>
    <col min="4616" max="4616" width="11" style="3" customWidth="1"/>
    <col min="4617" max="4617" width="12.5" style="3" customWidth="1"/>
    <col min="4618" max="4618" width="11.375" style="3" customWidth="1"/>
    <col min="4619" max="4619" width="13.875" style="3" customWidth="1"/>
    <col min="4620" max="4864" width="9" style="3"/>
    <col min="4865" max="4865" width="10.75" style="3" customWidth="1"/>
    <col min="4866" max="4866" width="9.875" style="3" customWidth="1"/>
    <col min="4867" max="4867" width="11" style="3" customWidth="1"/>
    <col min="4868" max="4868" width="12.75" style="3" customWidth="1"/>
    <col min="4869" max="4869" width="12.125" style="3" customWidth="1"/>
    <col min="4870" max="4870" width="9.5" style="3" customWidth="1"/>
    <col min="4871" max="4871" width="10.25" style="3" customWidth="1"/>
    <col min="4872" max="4872" width="11" style="3" customWidth="1"/>
    <col min="4873" max="4873" width="12.5" style="3" customWidth="1"/>
    <col min="4874" max="4874" width="11.375" style="3" customWidth="1"/>
    <col min="4875" max="4875" width="13.875" style="3" customWidth="1"/>
    <col min="4876" max="5120" width="9" style="3"/>
    <col min="5121" max="5121" width="10.75" style="3" customWidth="1"/>
    <col min="5122" max="5122" width="9.875" style="3" customWidth="1"/>
    <col min="5123" max="5123" width="11" style="3" customWidth="1"/>
    <col min="5124" max="5124" width="12.75" style="3" customWidth="1"/>
    <col min="5125" max="5125" width="12.125" style="3" customWidth="1"/>
    <col min="5126" max="5126" width="9.5" style="3" customWidth="1"/>
    <col min="5127" max="5127" width="10.25" style="3" customWidth="1"/>
    <col min="5128" max="5128" width="11" style="3" customWidth="1"/>
    <col min="5129" max="5129" width="12.5" style="3" customWidth="1"/>
    <col min="5130" max="5130" width="11.375" style="3" customWidth="1"/>
    <col min="5131" max="5131" width="13.875" style="3" customWidth="1"/>
    <col min="5132" max="5376" width="9" style="3"/>
    <col min="5377" max="5377" width="10.75" style="3" customWidth="1"/>
    <col min="5378" max="5378" width="9.875" style="3" customWidth="1"/>
    <col min="5379" max="5379" width="11" style="3" customWidth="1"/>
    <col min="5380" max="5380" width="12.75" style="3" customWidth="1"/>
    <col min="5381" max="5381" width="12.125" style="3" customWidth="1"/>
    <col min="5382" max="5382" width="9.5" style="3" customWidth="1"/>
    <col min="5383" max="5383" width="10.25" style="3" customWidth="1"/>
    <col min="5384" max="5384" width="11" style="3" customWidth="1"/>
    <col min="5385" max="5385" width="12.5" style="3" customWidth="1"/>
    <col min="5386" max="5386" width="11.375" style="3" customWidth="1"/>
    <col min="5387" max="5387" width="13.875" style="3" customWidth="1"/>
    <col min="5388" max="5632" width="9" style="3"/>
    <col min="5633" max="5633" width="10.75" style="3" customWidth="1"/>
    <col min="5634" max="5634" width="9.875" style="3" customWidth="1"/>
    <col min="5635" max="5635" width="11" style="3" customWidth="1"/>
    <col min="5636" max="5636" width="12.75" style="3" customWidth="1"/>
    <col min="5637" max="5637" width="12.125" style="3" customWidth="1"/>
    <col min="5638" max="5638" width="9.5" style="3" customWidth="1"/>
    <col min="5639" max="5639" width="10.25" style="3" customWidth="1"/>
    <col min="5640" max="5640" width="11" style="3" customWidth="1"/>
    <col min="5641" max="5641" width="12.5" style="3" customWidth="1"/>
    <col min="5642" max="5642" width="11.375" style="3" customWidth="1"/>
    <col min="5643" max="5643" width="13.875" style="3" customWidth="1"/>
    <col min="5644" max="5888" width="9" style="3"/>
    <col min="5889" max="5889" width="10.75" style="3" customWidth="1"/>
    <col min="5890" max="5890" width="9.875" style="3" customWidth="1"/>
    <col min="5891" max="5891" width="11" style="3" customWidth="1"/>
    <col min="5892" max="5892" width="12.75" style="3" customWidth="1"/>
    <col min="5893" max="5893" width="12.125" style="3" customWidth="1"/>
    <col min="5894" max="5894" width="9.5" style="3" customWidth="1"/>
    <col min="5895" max="5895" width="10.25" style="3" customWidth="1"/>
    <col min="5896" max="5896" width="11" style="3" customWidth="1"/>
    <col min="5897" max="5897" width="12.5" style="3" customWidth="1"/>
    <col min="5898" max="5898" width="11.375" style="3" customWidth="1"/>
    <col min="5899" max="5899" width="13.875" style="3" customWidth="1"/>
    <col min="5900" max="6144" width="9" style="3"/>
    <col min="6145" max="6145" width="10.75" style="3" customWidth="1"/>
    <col min="6146" max="6146" width="9.875" style="3" customWidth="1"/>
    <col min="6147" max="6147" width="11" style="3" customWidth="1"/>
    <col min="6148" max="6148" width="12.75" style="3" customWidth="1"/>
    <col min="6149" max="6149" width="12.125" style="3" customWidth="1"/>
    <col min="6150" max="6150" width="9.5" style="3" customWidth="1"/>
    <col min="6151" max="6151" width="10.25" style="3" customWidth="1"/>
    <col min="6152" max="6152" width="11" style="3" customWidth="1"/>
    <col min="6153" max="6153" width="12.5" style="3" customWidth="1"/>
    <col min="6154" max="6154" width="11.375" style="3" customWidth="1"/>
    <col min="6155" max="6155" width="13.875" style="3" customWidth="1"/>
    <col min="6156" max="6400" width="9" style="3"/>
    <col min="6401" max="6401" width="10.75" style="3" customWidth="1"/>
    <col min="6402" max="6402" width="9.875" style="3" customWidth="1"/>
    <col min="6403" max="6403" width="11" style="3" customWidth="1"/>
    <col min="6404" max="6404" width="12.75" style="3" customWidth="1"/>
    <col min="6405" max="6405" width="12.125" style="3" customWidth="1"/>
    <col min="6406" max="6406" width="9.5" style="3" customWidth="1"/>
    <col min="6407" max="6407" width="10.25" style="3" customWidth="1"/>
    <col min="6408" max="6408" width="11" style="3" customWidth="1"/>
    <col min="6409" max="6409" width="12.5" style="3" customWidth="1"/>
    <col min="6410" max="6410" width="11.375" style="3" customWidth="1"/>
    <col min="6411" max="6411" width="13.875" style="3" customWidth="1"/>
    <col min="6412" max="6656" width="9" style="3"/>
    <col min="6657" max="6657" width="10.75" style="3" customWidth="1"/>
    <col min="6658" max="6658" width="9.875" style="3" customWidth="1"/>
    <col min="6659" max="6659" width="11" style="3" customWidth="1"/>
    <col min="6660" max="6660" width="12.75" style="3" customWidth="1"/>
    <col min="6661" max="6661" width="12.125" style="3" customWidth="1"/>
    <col min="6662" max="6662" width="9.5" style="3" customWidth="1"/>
    <col min="6663" max="6663" width="10.25" style="3" customWidth="1"/>
    <col min="6664" max="6664" width="11" style="3" customWidth="1"/>
    <col min="6665" max="6665" width="12.5" style="3" customWidth="1"/>
    <col min="6666" max="6666" width="11.375" style="3" customWidth="1"/>
    <col min="6667" max="6667" width="13.875" style="3" customWidth="1"/>
    <col min="6668" max="6912" width="9" style="3"/>
    <col min="6913" max="6913" width="10.75" style="3" customWidth="1"/>
    <col min="6914" max="6914" width="9.875" style="3" customWidth="1"/>
    <col min="6915" max="6915" width="11" style="3" customWidth="1"/>
    <col min="6916" max="6916" width="12.75" style="3" customWidth="1"/>
    <col min="6917" max="6917" width="12.125" style="3" customWidth="1"/>
    <col min="6918" max="6918" width="9.5" style="3" customWidth="1"/>
    <col min="6919" max="6919" width="10.25" style="3" customWidth="1"/>
    <col min="6920" max="6920" width="11" style="3" customWidth="1"/>
    <col min="6921" max="6921" width="12.5" style="3" customWidth="1"/>
    <col min="6922" max="6922" width="11.375" style="3" customWidth="1"/>
    <col min="6923" max="6923" width="13.875" style="3" customWidth="1"/>
    <col min="6924" max="7168" width="9" style="3"/>
    <col min="7169" max="7169" width="10.75" style="3" customWidth="1"/>
    <col min="7170" max="7170" width="9.875" style="3" customWidth="1"/>
    <col min="7171" max="7171" width="11" style="3" customWidth="1"/>
    <col min="7172" max="7172" width="12.75" style="3" customWidth="1"/>
    <col min="7173" max="7173" width="12.125" style="3" customWidth="1"/>
    <col min="7174" max="7174" width="9.5" style="3" customWidth="1"/>
    <col min="7175" max="7175" width="10.25" style="3" customWidth="1"/>
    <col min="7176" max="7176" width="11" style="3" customWidth="1"/>
    <col min="7177" max="7177" width="12.5" style="3" customWidth="1"/>
    <col min="7178" max="7178" width="11.375" style="3" customWidth="1"/>
    <col min="7179" max="7179" width="13.875" style="3" customWidth="1"/>
    <col min="7180" max="7424" width="9" style="3"/>
    <col min="7425" max="7425" width="10.75" style="3" customWidth="1"/>
    <col min="7426" max="7426" width="9.875" style="3" customWidth="1"/>
    <col min="7427" max="7427" width="11" style="3" customWidth="1"/>
    <col min="7428" max="7428" width="12.75" style="3" customWidth="1"/>
    <col min="7429" max="7429" width="12.125" style="3" customWidth="1"/>
    <col min="7430" max="7430" width="9.5" style="3" customWidth="1"/>
    <col min="7431" max="7431" width="10.25" style="3" customWidth="1"/>
    <col min="7432" max="7432" width="11" style="3" customWidth="1"/>
    <col min="7433" max="7433" width="12.5" style="3" customWidth="1"/>
    <col min="7434" max="7434" width="11.375" style="3" customWidth="1"/>
    <col min="7435" max="7435" width="13.875" style="3" customWidth="1"/>
    <col min="7436" max="7680" width="9" style="3"/>
    <col min="7681" max="7681" width="10.75" style="3" customWidth="1"/>
    <col min="7682" max="7682" width="9.875" style="3" customWidth="1"/>
    <col min="7683" max="7683" width="11" style="3" customWidth="1"/>
    <col min="7684" max="7684" width="12.75" style="3" customWidth="1"/>
    <col min="7685" max="7685" width="12.125" style="3" customWidth="1"/>
    <col min="7686" max="7686" width="9.5" style="3" customWidth="1"/>
    <col min="7687" max="7687" width="10.25" style="3" customWidth="1"/>
    <col min="7688" max="7688" width="11" style="3" customWidth="1"/>
    <col min="7689" max="7689" width="12.5" style="3" customWidth="1"/>
    <col min="7690" max="7690" width="11.375" style="3" customWidth="1"/>
    <col min="7691" max="7691" width="13.875" style="3" customWidth="1"/>
    <col min="7692" max="7936" width="9" style="3"/>
    <col min="7937" max="7937" width="10.75" style="3" customWidth="1"/>
    <col min="7938" max="7938" width="9.875" style="3" customWidth="1"/>
    <col min="7939" max="7939" width="11" style="3" customWidth="1"/>
    <col min="7940" max="7940" width="12.75" style="3" customWidth="1"/>
    <col min="7941" max="7941" width="12.125" style="3" customWidth="1"/>
    <col min="7942" max="7942" width="9.5" style="3" customWidth="1"/>
    <col min="7943" max="7943" width="10.25" style="3" customWidth="1"/>
    <col min="7944" max="7944" width="11" style="3" customWidth="1"/>
    <col min="7945" max="7945" width="12.5" style="3" customWidth="1"/>
    <col min="7946" max="7946" width="11.375" style="3" customWidth="1"/>
    <col min="7947" max="7947" width="13.875" style="3" customWidth="1"/>
    <col min="7948" max="8192" width="9" style="3"/>
    <col min="8193" max="8193" width="10.75" style="3" customWidth="1"/>
    <col min="8194" max="8194" width="9.875" style="3" customWidth="1"/>
    <col min="8195" max="8195" width="11" style="3" customWidth="1"/>
    <col min="8196" max="8196" width="12.75" style="3" customWidth="1"/>
    <col min="8197" max="8197" width="12.125" style="3" customWidth="1"/>
    <col min="8198" max="8198" width="9.5" style="3" customWidth="1"/>
    <col min="8199" max="8199" width="10.25" style="3" customWidth="1"/>
    <col min="8200" max="8200" width="11" style="3" customWidth="1"/>
    <col min="8201" max="8201" width="12.5" style="3" customWidth="1"/>
    <col min="8202" max="8202" width="11.375" style="3" customWidth="1"/>
    <col min="8203" max="8203" width="13.875" style="3" customWidth="1"/>
    <col min="8204" max="8448" width="9" style="3"/>
    <col min="8449" max="8449" width="10.75" style="3" customWidth="1"/>
    <col min="8450" max="8450" width="9.875" style="3" customWidth="1"/>
    <col min="8451" max="8451" width="11" style="3" customWidth="1"/>
    <col min="8452" max="8452" width="12.75" style="3" customWidth="1"/>
    <col min="8453" max="8453" width="12.125" style="3" customWidth="1"/>
    <col min="8454" max="8454" width="9.5" style="3" customWidth="1"/>
    <col min="8455" max="8455" width="10.25" style="3" customWidth="1"/>
    <col min="8456" max="8456" width="11" style="3" customWidth="1"/>
    <col min="8457" max="8457" width="12.5" style="3" customWidth="1"/>
    <col min="8458" max="8458" width="11.375" style="3" customWidth="1"/>
    <col min="8459" max="8459" width="13.875" style="3" customWidth="1"/>
    <col min="8460" max="8704" width="9" style="3"/>
    <col min="8705" max="8705" width="10.75" style="3" customWidth="1"/>
    <col min="8706" max="8706" width="9.875" style="3" customWidth="1"/>
    <col min="8707" max="8707" width="11" style="3" customWidth="1"/>
    <col min="8708" max="8708" width="12.75" style="3" customWidth="1"/>
    <col min="8709" max="8709" width="12.125" style="3" customWidth="1"/>
    <col min="8710" max="8710" width="9.5" style="3" customWidth="1"/>
    <col min="8711" max="8711" width="10.25" style="3" customWidth="1"/>
    <col min="8712" max="8712" width="11" style="3" customWidth="1"/>
    <col min="8713" max="8713" width="12.5" style="3" customWidth="1"/>
    <col min="8714" max="8714" width="11.375" style="3" customWidth="1"/>
    <col min="8715" max="8715" width="13.875" style="3" customWidth="1"/>
    <col min="8716" max="8960" width="9" style="3"/>
    <col min="8961" max="8961" width="10.75" style="3" customWidth="1"/>
    <col min="8962" max="8962" width="9.875" style="3" customWidth="1"/>
    <col min="8963" max="8963" width="11" style="3" customWidth="1"/>
    <col min="8964" max="8964" width="12.75" style="3" customWidth="1"/>
    <col min="8965" max="8965" width="12.125" style="3" customWidth="1"/>
    <col min="8966" max="8966" width="9.5" style="3" customWidth="1"/>
    <col min="8967" max="8967" width="10.25" style="3" customWidth="1"/>
    <col min="8968" max="8968" width="11" style="3" customWidth="1"/>
    <col min="8969" max="8969" width="12.5" style="3" customWidth="1"/>
    <col min="8970" max="8970" width="11.375" style="3" customWidth="1"/>
    <col min="8971" max="8971" width="13.875" style="3" customWidth="1"/>
    <col min="8972" max="9216" width="9" style="3"/>
    <col min="9217" max="9217" width="10.75" style="3" customWidth="1"/>
    <col min="9218" max="9218" width="9.875" style="3" customWidth="1"/>
    <col min="9219" max="9219" width="11" style="3" customWidth="1"/>
    <col min="9220" max="9220" width="12.75" style="3" customWidth="1"/>
    <col min="9221" max="9221" width="12.125" style="3" customWidth="1"/>
    <col min="9222" max="9222" width="9.5" style="3" customWidth="1"/>
    <col min="9223" max="9223" width="10.25" style="3" customWidth="1"/>
    <col min="9224" max="9224" width="11" style="3" customWidth="1"/>
    <col min="9225" max="9225" width="12.5" style="3" customWidth="1"/>
    <col min="9226" max="9226" width="11.375" style="3" customWidth="1"/>
    <col min="9227" max="9227" width="13.875" style="3" customWidth="1"/>
    <col min="9228" max="9472" width="9" style="3"/>
    <col min="9473" max="9473" width="10.75" style="3" customWidth="1"/>
    <col min="9474" max="9474" width="9.875" style="3" customWidth="1"/>
    <col min="9475" max="9475" width="11" style="3" customWidth="1"/>
    <col min="9476" max="9476" width="12.75" style="3" customWidth="1"/>
    <col min="9477" max="9477" width="12.125" style="3" customWidth="1"/>
    <col min="9478" max="9478" width="9.5" style="3" customWidth="1"/>
    <col min="9479" max="9479" width="10.25" style="3" customWidth="1"/>
    <col min="9480" max="9480" width="11" style="3" customWidth="1"/>
    <col min="9481" max="9481" width="12.5" style="3" customWidth="1"/>
    <col min="9482" max="9482" width="11.375" style="3" customWidth="1"/>
    <col min="9483" max="9483" width="13.875" style="3" customWidth="1"/>
    <col min="9484" max="9728" width="9" style="3"/>
    <col min="9729" max="9729" width="10.75" style="3" customWidth="1"/>
    <col min="9730" max="9730" width="9.875" style="3" customWidth="1"/>
    <col min="9731" max="9731" width="11" style="3" customWidth="1"/>
    <col min="9732" max="9732" width="12.75" style="3" customWidth="1"/>
    <col min="9733" max="9733" width="12.125" style="3" customWidth="1"/>
    <col min="9734" max="9734" width="9.5" style="3" customWidth="1"/>
    <col min="9735" max="9735" width="10.25" style="3" customWidth="1"/>
    <col min="9736" max="9736" width="11" style="3" customWidth="1"/>
    <col min="9737" max="9737" width="12.5" style="3" customWidth="1"/>
    <col min="9738" max="9738" width="11.375" style="3" customWidth="1"/>
    <col min="9739" max="9739" width="13.875" style="3" customWidth="1"/>
    <col min="9740" max="9984" width="9" style="3"/>
    <col min="9985" max="9985" width="10.75" style="3" customWidth="1"/>
    <col min="9986" max="9986" width="9.875" style="3" customWidth="1"/>
    <col min="9987" max="9987" width="11" style="3" customWidth="1"/>
    <col min="9988" max="9988" width="12.75" style="3" customWidth="1"/>
    <col min="9989" max="9989" width="12.125" style="3" customWidth="1"/>
    <col min="9990" max="9990" width="9.5" style="3" customWidth="1"/>
    <col min="9991" max="9991" width="10.25" style="3" customWidth="1"/>
    <col min="9992" max="9992" width="11" style="3" customWidth="1"/>
    <col min="9993" max="9993" width="12.5" style="3" customWidth="1"/>
    <col min="9994" max="9994" width="11.375" style="3" customWidth="1"/>
    <col min="9995" max="9995" width="13.875" style="3" customWidth="1"/>
    <col min="9996" max="10240" width="9" style="3"/>
    <col min="10241" max="10241" width="10.75" style="3" customWidth="1"/>
    <col min="10242" max="10242" width="9.875" style="3" customWidth="1"/>
    <col min="10243" max="10243" width="11" style="3" customWidth="1"/>
    <col min="10244" max="10244" width="12.75" style="3" customWidth="1"/>
    <col min="10245" max="10245" width="12.125" style="3" customWidth="1"/>
    <col min="10246" max="10246" width="9.5" style="3" customWidth="1"/>
    <col min="10247" max="10247" width="10.25" style="3" customWidth="1"/>
    <col min="10248" max="10248" width="11" style="3" customWidth="1"/>
    <col min="10249" max="10249" width="12.5" style="3" customWidth="1"/>
    <col min="10250" max="10250" width="11.375" style="3" customWidth="1"/>
    <col min="10251" max="10251" width="13.875" style="3" customWidth="1"/>
    <col min="10252" max="10496" width="9" style="3"/>
    <col min="10497" max="10497" width="10.75" style="3" customWidth="1"/>
    <col min="10498" max="10498" width="9.875" style="3" customWidth="1"/>
    <col min="10499" max="10499" width="11" style="3" customWidth="1"/>
    <col min="10500" max="10500" width="12.75" style="3" customWidth="1"/>
    <col min="10501" max="10501" width="12.125" style="3" customWidth="1"/>
    <col min="10502" max="10502" width="9.5" style="3" customWidth="1"/>
    <col min="10503" max="10503" width="10.25" style="3" customWidth="1"/>
    <col min="10504" max="10504" width="11" style="3" customWidth="1"/>
    <col min="10505" max="10505" width="12.5" style="3" customWidth="1"/>
    <col min="10506" max="10506" width="11.375" style="3" customWidth="1"/>
    <col min="10507" max="10507" width="13.875" style="3" customWidth="1"/>
    <col min="10508" max="10752" width="9" style="3"/>
    <col min="10753" max="10753" width="10.75" style="3" customWidth="1"/>
    <col min="10754" max="10754" width="9.875" style="3" customWidth="1"/>
    <col min="10755" max="10755" width="11" style="3" customWidth="1"/>
    <col min="10756" max="10756" width="12.75" style="3" customWidth="1"/>
    <col min="10757" max="10757" width="12.125" style="3" customWidth="1"/>
    <col min="10758" max="10758" width="9.5" style="3" customWidth="1"/>
    <col min="10759" max="10759" width="10.25" style="3" customWidth="1"/>
    <col min="10760" max="10760" width="11" style="3" customWidth="1"/>
    <col min="10761" max="10761" width="12.5" style="3" customWidth="1"/>
    <col min="10762" max="10762" width="11.375" style="3" customWidth="1"/>
    <col min="10763" max="10763" width="13.875" style="3" customWidth="1"/>
    <col min="10764" max="11008" width="9" style="3"/>
    <col min="11009" max="11009" width="10.75" style="3" customWidth="1"/>
    <col min="11010" max="11010" width="9.875" style="3" customWidth="1"/>
    <col min="11011" max="11011" width="11" style="3" customWidth="1"/>
    <col min="11012" max="11012" width="12.75" style="3" customWidth="1"/>
    <col min="11013" max="11013" width="12.125" style="3" customWidth="1"/>
    <col min="11014" max="11014" width="9.5" style="3" customWidth="1"/>
    <col min="11015" max="11015" width="10.25" style="3" customWidth="1"/>
    <col min="11016" max="11016" width="11" style="3" customWidth="1"/>
    <col min="11017" max="11017" width="12.5" style="3" customWidth="1"/>
    <col min="11018" max="11018" width="11.375" style="3" customWidth="1"/>
    <col min="11019" max="11019" width="13.875" style="3" customWidth="1"/>
    <col min="11020" max="11264" width="9" style="3"/>
    <col min="11265" max="11265" width="10.75" style="3" customWidth="1"/>
    <col min="11266" max="11266" width="9.875" style="3" customWidth="1"/>
    <col min="11267" max="11267" width="11" style="3" customWidth="1"/>
    <col min="11268" max="11268" width="12.75" style="3" customWidth="1"/>
    <col min="11269" max="11269" width="12.125" style="3" customWidth="1"/>
    <col min="11270" max="11270" width="9.5" style="3" customWidth="1"/>
    <col min="11271" max="11271" width="10.25" style="3" customWidth="1"/>
    <col min="11272" max="11272" width="11" style="3" customWidth="1"/>
    <col min="11273" max="11273" width="12.5" style="3" customWidth="1"/>
    <col min="11274" max="11274" width="11.375" style="3" customWidth="1"/>
    <col min="11275" max="11275" width="13.875" style="3" customWidth="1"/>
    <col min="11276" max="11520" width="9" style="3"/>
    <col min="11521" max="11521" width="10.75" style="3" customWidth="1"/>
    <col min="11522" max="11522" width="9.875" style="3" customWidth="1"/>
    <col min="11523" max="11523" width="11" style="3" customWidth="1"/>
    <col min="11524" max="11524" width="12.75" style="3" customWidth="1"/>
    <col min="11525" max="11525" width="12.125" style="3" customWidth="1"/>
    <col min="11526" max="11526" width="9.5" style="3" customWidth="1"/>
    <col min="11527" max="11527" width="10.25" style="3" customWidth="1"/>
    <col min="11528" max="11528" width="11" style="3" customWidth="1"/>
    <col min="11529" max="11529" width="12.5" style="3" customWidth="1"/>
    <col min="11530" max="11530" width="11.375" style="3" customWidth="1"/>
    <col min="11531" max="11531" width="13.875" style="3" customWidth="1"/>
    <col min="11532" max="11776" width="9" style="3"/>
    <col min="11777" max="11777" width="10.75" style="3" customWidth="1"/>
    <col min="11778" max="11778" width="9.875" style="3" customWidth="1"/>
    <col min="11779" max="11779" width="11" style="3" customWidth="1"/>
    <col min="11780" max="11780" width="12.75" style="3" customWidth="1"/>
    <col min="11781" max="11781" width="12.125" style="3" customWidth="1"/>
    <col min="11782" max="11782" width="9.5" style="3" customWidth="1"/>
    <col min="11783" max="11783" width="10.25" style="3" customWidth="1"/>
    <col min="11784" max="11784" width="11" style="3" customWidth="1"/>
    <col min="11785" max="11785" width="12.5" style="3" customWidth="1"/>
    <col min="11786" max="11786" width="11.375" style="3" customWidth="1"/>
    <col min="11787" max="11787" width="13.875" style="3" customWidth="1"/>
    <col min="11788" max="12032" width="9" style="3"/>
    <col min="12033" max="12033" width="10.75" style="3" customWidth="1"/>
    <col min="12034" max="12034" width="9.875" style="3" customWidth="1"/>
    <col min="12035" max="12035" width="11" style="3" customWidth="1"/>
    <col min="12036" max="12036" width="12.75" style="3" customWidth="1"/>
    <col min="12037" max="12037" width="12.125" style="3" customWidth="1"/>
    <col min="12038" max="12038" width="9.5" style="3" customWidth="1"/>
    <col min="12039" max="12039" width="10.25" style="3" customWidth="1"/>
    <col min="12040" max="12040" width="11" style="3" customWidth="1"/>
    <col min="12041" max="12041" width="12.5" style="3" customWidth="1"/>
    <col min="12042" max="12042" width="11.375" style="3" customWidth="1"/>
    <col min="12043" max="12043" width="13.875" style="3" customWidth="1"/>
    <col min="12044" max="12288" width="9" style="3"/>
    <col min="12289" max="12289" width="10.75" style="3" customWidth="1"/>
    <col min="12290" max="12290" width="9.875" style="3" customWidth="1"/>
    <col min="12291" max="12291" width="11" style="3" customWidth="1"/>
    <col min="12292" max="12292" width="12.75" style="3" customWidth="1"/>
    <col min="12293" max="12293" width="12.125" style="3" customWidth="1"/>
    <col min="12294" max="12294" width="9.5" style="3" customWidth="1"/>
    <col min="12295" max="12295" width="10.25" style="3" customWidth="1"/>
    <col min="12296" max="12296" width="11" style="3" customWidth="1"/>
    <col min="12297" max="12297" width="12.5" style="3" customWidth="1"/>
    <col min="12298" max="12298" width="11.375" style="3" customWidth="1"/>
    <col min="12299" max="12299" width="13.875" style="3" customWidth="1"/>
    <col min="12300" max="12544" width="9" style="3"/>
    <col min="12545" max="12545" width="10.75" style="3" customWidth="1"/>
    <col min="12546" max="12546" width="9.875" style="3" customWidth="1"/>
    <col min="12547" max="12547" width="11" style="3" customWidth="1"/>
    <col min="12548" max="12548" width="12.75" style="3" customWidth="1"/>
    <col min="12549" max="12549" width="12.125" style="3" customWidth="1"/>
    <col min="12550" max="12550" width="9.5" style="3" customWidth="1"/>
    <col min="12551" max="12551" width="10.25" style="3" customWidth="1"/>
    <col min="12552" max="12552" width="11" style="3" customWidth="1"/>
    <col min="12553" max="12553" width="12.5" style="3" customWidth="1"/>
    <col min="12554" max="12554" width="11.375" style="3" customWidth="1"/>
    <col min="12555" max="12555" width="13.875" style="3" customWidth="1"/>
    <col min="12556" max="12800" width="9" style="3"/>
    <col min="12801" max="12801" width="10.75" style="3" customWidth="1"/>
    <col min="12802" max="12802" width="9.875" style="3" customWidth="1"/>
    <col min="12803" max="12803" width="11" style="3" customWidth="1"/>
    <col min="12804" max="12804" width="12.75" style="3" customWidth="1"/>
    <col min="12805" max="12805" width="12.125" style="3" customWidth="1"/>
    <col min="12806" max="12806" width="9.5" style="3" customWidth="1"/>
    <col min="12807" max="12807" width="10.25" style="3" customWidth="1"/>
    <col min="12808" max="12808" width="11" style="3" customWidth="1"/>
    <col min="12809" max="12809" width="12.5" style="3" customWidth="1"/>
    <col min="12810" max="12810" width="11.375" style="3" customWidth="1"/>
    <col min="12811" max="12811" width="13.875" style="3" customWidth="1"/>
    <col min="12812" max="13056" width="9" style="3"/>
    <col min="13057" max="13057" width="10.75" style="3" customWidth="1"/>
    <col min="13058" max="13058" width="9.875" style="3" customWidth="1"/>
    <col min="13059" max="13059" width="11" style="3" customWidth="1"/>
    <col min="13060" max="13060" width="12.75" style="3" customWidth="1"/>
    <col min="13061" max="13061" width="12.125" style="3" customWidth="1"/>
    <col min="13062" max="13062" width="9.5" style="3" customWidth="1"/>
    <col min="13063" max="13063" width="10.25" style="3" customWidth="1"/>
    <col min="13064" max="13064" width="11" style="3" customWidth="1"/>
    <col min="13065" max="13065" width="12.5" style="3" customWidth="1"/>
    <col min="13066" max="13066" width="11.375" style="3" customWidth="1"/>
    <col min="13067" max="13067" width="13.875" style="3" customWidth="1"/>
    <col min="13068" max="13312" width="9" style="3"/>
    <col min="13313" max="13313" width="10.75" style="3" customWidth="1"/>
    <col min="13314" max="13314" width="9.875" style="3" customWidth="1"/>
    <col min="13315" max="13315" width="11" style="3" customWidth="1"/>
    <col min="13316" max="13316" width="12.75" style="3" customWidth="1"/>
    <col min="13317" max="13317" width="12.125" style="3" customWidth="1"/>
    <col min="13318" max="13318" width="9.5" style="3" customWidth="1"/>
    <col min="13319" max="13319" width="10.25" style="3" customWidth="1"/>
    <col min="13320" max="13320" width="11" style="3" customWidth="1"/>
    <col min="13321" max="13321" width="12.5" style="3" customWidth="1"/>
    <col min="13322" max="13322" width="11.375" style="3" customWidth="1"/>
    <col min="13323" max="13323" width="13.875" style="3" customWidth="1"/>
    <col min="13324" max="13568" width="9" style="3"/>
    <col min="13569" max="13569" width="10.75" style="3" customWidth="1"/>
    <col min="13570" max="13570" width="9.875" style="3" customWidth="1"/>
    <col min="13571" max="13571" width="11" style="3" customWidth="1"/>
    <col min="13572" max="13572" width="12.75" style="3" customWidth="1"/>
    <col min="13573" max="13573" width="12.125" style="3" customWidth="1"/>
    <col min="13574" max="13574" width="9.5" style="3" customWidth="1"/>
    <col min="13575" max="13575" width="10.25" style="3" customWidth="1"/>
    <col min="13576" max="13576" width="11" style="3" customWidth="1"/>
    <col min="13577" max="13577" width="12.5" style="3" customWidth="1"/>
    <col min="13578" max="13578" width="11.375" style="3" customWidth="1"/>
    <col min="13579" max="13579" width="13.875" style="3" customWidth="1"/>
    <col min="13580" max="13824" width="9" style="3"/>
    <col min="13825" max="13825" width="10.75" style="3" customWidth="1"/>
    <col min="13826" max="13826" width="9.875" style="3" customWidth="1"/>
    <col min="13827" max="13827" width="11" style="3" customWidth="1"/>
    <col min="13828" max="13828" width="12.75" style="3" customWidth="1"/>
    <col min="13829" max="13829" width="12.125" style="3" customWidth="1"/>
    <col min="13830" max="13830" width="9.5" style="3" customWidth="1"/>
    <col min="13831" max="13831" width="10.25" style="3" customWidth="1"/>
    <col min="13832" max="13832" width="11" style="3" customWidth="1"/>
    <col min="13833" max="13833" width="12.5" style="3" customWidth="1"/>
    <col min="13834" max="13834" width="11.375" style="3" customWidth="1"/>
    <col min="13835" max="13835" width="13.875" style="3" customWidth="1"/>
    <col min="13836" max="14080" width="9" style="3"/>
    <col min="14081" max="14081" width="10.75" style="3" customWidth="1"/>
    <col min="14082" max="14082" width="9.875" style="3" customWidth="1"/>
    <col min="14083" max="14083" width="11" style="3" customWidth="1"/>
    <col min="14084" max="14084" width="12.75" style="3" customWidth="1"/>
    <col min="14085" max="14085" width="12.125" style="3" customWidth="1"/>
    <col min="14086" max="14086" width="9.5" style="3" customWidth="1"/>
    <col min="14087" max="14087" width="10.25" style="3" customWidth="1"/>
    <col min="14088" max="14088" width="11" style="3" customWidth="1"/>
    <col min="14089" max="14089" width="12.5" style="3" customWidth="1"/>
    <col min="14090" max="14090" width="11.375" style="3" customWidth="1"/>
    <col min="14091" max="14091" width="13.875" style="3" customWidth="1"/>
    <col min="14092" max="14336" width="9" style="3"/>
    <col min="14337" max="14337" width="10.75" style="3" customWidth="1"/>
    <col min="14338" max="14338" width="9.875" style="3" customWidth="1"/>
    <col min="14339" max="14339" width="11" style="3" customWidth="1"/>
    <col min="14340" max="14340" width="12.75" style="3" customWidth="1"/>
    <col min="14341" max="14341" width="12.125" style="3" customWidth="1"/>
    <col min="14342" max="14342" width="9.5" style="3" customWidth="1"/>
    <col min="14343" max="14343" width="10.25" style="3" customWidth="1"/>
    <col min="14344" max="14344" width="11" style="3" customWidth="1"/>
    <col min="14345" max="14345" width="12.5" style="3" customWidth="1"/>
    <col min="14346" max="14346" width="11.375" style="3" customWidth="1"/>
    <col min="14347" max="14347" width="13.875" style="3" customWidth="1"/>
    <col min="14348" max="14592" width="9" style="3"/>
    <col min="14593" max="14593" width="10.75" style="3" customWidth="1"/>
    <col min="14594" max="14594" width="9.875" style="3" customWidth="1"/>
    <col min="14595" max="14595" width="11" style="3" customWidth="1"/>
    <col min="14596" max="14596" width="12.75" style="3" customWidth="1"/>
    <col min="14597" max="14597" width="12.125" style="3" customWidth="1"/>
    <col min="14598" max="14598" width="9.5" style="3" customWidth="1"/>
    <col min="14599" max="14599" width="10.25" style="3" customWidth="1"/>
    <col min="14600" max="14600" width="11" style="3" customWidth="1"/>
    <col min="14601" max="14601" width="12.5" style="3" customWidth="1"/>
    <col min="14602" max="14602" width="11.375" style="3" customWidth="1"/>
    <col min="14603" max="14603" width="13.875" style="3" customWidth="1"/>
    <col min="14604" max="14848" width="9" style="3"/>
    <col min="14849" max="14849" width="10.75" style="3" customWidth="1"/>
    <col min="14850" max="14850" width="9.875" style="3" customWidth="1"/>
    <col min="14851" max="14851" width="11" style="3" customWidth="1"/>
    <col min="14852" max="14852" width="12.75" style="3" customWidth="1"/>
    <col min="14853" max="14853" width="12.125" style="3" customWidth="1"/>
    <col min="14854" max="14854" width="9.5" style="3" customWidth="1"/>
    <col min="14855" max="14855" width="10.25" style="3" customWidth="1"/>
    <col min="14856" max="14856" width="11" style="3" customWidth="1"/>
    <col min="14857" max="14857" width="12.5" style="3" customWidth="1"/>
    <col min="14858" max="14858" width="11.375" style="3" customWidth="1"/>
    <col min="14859" max="14859" width="13.875" style="3" customWidth="1"/>
    <col min="14860" max="15104" width="9" style="3"/>
    <col min="15105" max="15105" width="10.75" style="3" customWidth="1"/>
    <col min="15106" max="15106" width="9.875" style="3" customWidth="1"/>
    <col min="15107" max="15107" width="11" style="3" customWidth="1"/>
    <col min="15108" max="15108" width="12.75" style="3" customWidth="1"/>
    <col min="15109" max="15109" width="12.125" style="3" customWidth="1"/>
    <col min="15110" max="15110" width="9.5" style="3" customWidth="1"/>
    <col min="15111" max="15111" width="10.25" style="3" customWidth="1"/>
    <col min="15112" max="15112" width="11" style="3" customWidth="1"/>
    <col min="15113" max="15113" width="12.5" style="3" customWidth="1"/>
    <col min="15114" max="15114" width="11.375" style="3" customWidth="1"/>
    <col min="15115" max="15115" width="13.875" style="3" customWidth="1"/>
    <col min="15116" max="15360" width="9" style="3"/>
    <col min="15361" max="15361" width="10.75" style="3" customWidth="1"/>
    <col min="15362" max="15362" width="9.875" style="3" customWidth="1"/>
    <col min="15363" max="15363" width="11" style="3" customWidth="1"/>
    <col min="15364" max="15364" width="12.75" style="3" customWidth="1"/>
    <col min="15365" max="15365" width="12.125" style="3" customWidth="1"/>
    <col min="15366" max="15366" width="9.5" style="3" customWidth="1"/>
    <col min="15367" max="15367" width="10.25" style="3" customWidth="1"/>
    <col min="15368" max="15368" width="11" style="3" customWidth="1"/>
    <col min="15369" max="15369" width="12.5" style="3" customWidth="1"/>
    <col min="15370" max="15370" width="11.375" style="3" customWidth="1"/>
    <col min="15371" max="15371" width="13.875" style="3" customWidth="1"/>
    <col min="15372" max="15616" width="9" style="3"/>
    <col min="15617" max="15617" width="10.75" style="3" customWidth="1"/>
    <col min="15618" max="15618" width="9.875" style="3" customWidth="1"/>
    <col min="15619" max="15619" width="11" style="3" customWidth="1"/>
    <col min="15620" max="15620" width="12.75" style="3" customWidth="1"/>
    <col min="15621" max="15621" width="12.125" style="3" customWidth="1"/>
    <col min="15622" max="15622" width="9.5" style="3" customWidth="1"/>
    <col min="15623" max="15623" width="10.25" style="3" customWidth="1"/>
    <col min="15624" max="15624" width="11" style="3" customWidth="1"/>
    <col min="15625" max="15625" width="12.5" style="3" customWidth="1"/>
    <col min="15626" max="15626" width="11.375" style="3" customWidth="1"/>
    <col min="15627" max="15627" width="13.875" style="3" customWidth="1"/>
    <col min="15628" max="15872" width="9" style="3"/>
    <col min="15873" max="15873" width="10.75" style="3" customWidth="1"/>
    <col min="15874" max="15874" width="9.875" style="3" customWidth="1"/>
    <col min="15875" max="15875" width="11" style="3" customWidth="1"/>
    <col min="15876" max="15876" width="12.75" style="3" customWidth="1"/>
    <col min="15877" max="15877" width="12.125" style="3" customWidth="1"/>
    <col min="15878" max="15878" width="9.5" style="3" customWidth="1"/>
    <col min="15879" max="15879" width="10.25" style="3" customWidth="1"/>
    <col min="15880" max="15880" width="11" style="3" customWidth="1"/>
    <col min="15881" max="15881" width="12.5" style="3" customWidth="1"/>
    <col min="15882" max="15882" width="11.375" style="3" customWidth="1"/>
    <col min="15883" max="15883" width="13.875" style="3" customWidth="1"/>
    <col min="15884" max="16128" width="9" style="3"/>
    <col min="16129" max="16129" width="10.75" style="3" customWidth="1"/>
    <col min="16130" max="16130" width="9.875" style="3" customWidth="1"/>
    <col min="16131" max="16131" width="11" style="3" customWidth="1"/>
    <col min="16132" max="16132" width="12.75" style="3" customWidth="1"/>
    <col min="16133" max="16133" width="12.125" style="3" customWidth="1"/>
    <col min="16134" max="16134" width="9.5" style="3" customWidth="1"/>
    <col min="16135" max="16135" width="10.25" style="3" customWidth="1"/>
    <col min="16136" max="16136" width="11" style="3" customWidth="1"/>
    <col min="16137" max="16137" width="12.5" style="3" customWidth="1"/>
    <col min="16138" max="16138" width="11.375" style="3" customWidth="1"/>
    <col min="16139" max="16139" width="13.875" style="3" customWidth="1"/>
    <col min="16140" max="16384" width="9" style="3"/>
  </cols>
  <sheetData>
    <row r="1" spans="1:12" ht="26.25" x14ac:dyDescent="0.35">
      <c r="A1" s="1"/>
      <c r="B1" s="2"/>
      <c r="C1" s="2"/>
      <c r="D1" s="2"/>
      <c r="E1" s="2"/>
      <c r="F1" s="2"/>
      <c r="G1" s="2"/>
      <c r="H1" s="2"/>
      <c r="I1" s="2"/>
      <c r="K1" s="4" t="s">
        <v>48</v>
      </c>
      <c r="L1" s="2"/>
    </row>
    <row r="2" spans="1:12" ht="29.25" x14ac:dyDescent="0.35">
      <c r="A2" s="5" t="s">
        <v>148</v>
      </c>
      <c r="B2" s="5"/>
      <c r="C2" s="5"/>
      <c r="D2" s="5"/>
      <c r="E2" s="5"/>
      <c r="F2" s="5"/>
      <c r="G2" s="5"/>
      <c r="H2" s="5"/>
      <c r="I2" s="5"/>
      <c r="J2" s="5"/>
      <c r="K2" s="5"/>
      <c r="L2" s="2"/>
    </row>
    <row r="3" spans="1:12" s="8" customFormat="1" ht="23.25" x14ac:dyDescent="0.2">
      <c r="A3" s="6" t="s">
        <v>2</v>
      </c>
      <c r="B3" s="7" t="s">
        <v>50</v>
      </c>
      <c r="C3" s="7"/>
      <c r="D3" s="7"/>
      <c r="E3" s="7"/>
      <c r="F3" s="7" t="s">
        <v>3</v>
      </c>
      <c r="G3" s="7"/>
      <c r="H3" s="7"/>
      <c r="I3" s="7"/>
      <c r="J3" s="7" t="s">
        <v>5</v>
      </c>
      <c r="K3" s="7"/>
    </row>
    <row r="4" spans="1:12" s="8" customFormat="1" ht="46.5" x14ac:dyDescent="0.2">
      <c r="A4" s="6"/>
      <c r="B4" s="9" t="s">
        <v>6</v>
      </c>
      <c r="C4" s="9" t="s">
        <v>88</v>
      </c>
      <c r="D4" s="9" t="s">
        <v>8</v>
      </c>
      <c r="E4" s="9" t="s">
        <v>89</v>
      </c>
      <c r="F4" s="9" t="s">
        <v>6</v>
      </c>
      <c r="G4" s="9" t="s">
        <v>90</v>
      </c>
      <c r="H4" s="9" t="s">
        <v>8</v>
      </c>
      <c r="I4" s="9" t="s">
        <v>91</v>
      </c>
      <c r="J4" s="9" t="s">
        <v>92</v>
      </c>
      <c r="K4" s="9" t="s">
        <v>93</v>
      </c>
    </row>
    <row r="5" spans="1:12" ht="24" x14ac:dyDescent="0.55000000000000004">
      <c r="A5" s="10" t="s">
        <v>14</v>
      </c>
      <c r="B5" s="11">
        <v>94</v>
      </c>
      <c r="C5" s="11">
        <v>25</v>
      </c>
      <c r="D5" s="11"/>
      <c r="E5" s="12">
        <f t="shared" ref="E5:E16" si="0">C5/B5</f>
        <v>0.26595744680851063</v>
      </c>
      <c r="F5" s="13">
        <v>95</v>
      </c>
      <c r="G5" s="13">
        <v>30</v>
      </c>
      <c r="H5" s="13"/>
      <c r="I5" s="12">
        <f t="shared" ref="I5:I17" si="1">G5/F5</f>
        <v>0.31578947368421051</v>
      </c>
      <c r="J5" s="37">
        <f t="shared" ref="J5:J18" si="2">(G5-C5)/C5</f>
        <v>0.2</v>
      </c>
      <c r="K5" s="38">
        <f t="shared" ref="K5:K18" si="3">(I5-E5)/E5</f>
        <v>0.18736842105263155</v>
      </c>
    </row>
    <row r="6" spans="1:12" ht="24" x14ac:dyDescent="0.55000000000000004">
      <c r="A6" s="10" t="s">
        <v>15</v>
      </c>
      <c r="B6" s="11">
        <v>94</v>
      </c>
      <c r="C6" s="11">
        <v>25</v>
      </c>
      <c r="D6" s="11"/>
      <c r="E6" s="12">
        <f t="shared" si="0"/>
        <v>0.26595744680851063</v>
      </c>
      <c r="F6" s="13">
        <v>95</v>
      </c>
      <c r="G6" s="13">
        <v>35</v>
      </c>
      <c r="H6" s="13"/>
      <c r="I6" s="12">
        <f t="shared" si="1"/>
        <v>0.36842105263157893</v>
      </c>
      <c r="J6" s="37">
        <f t="shared" si="2"/>
        <v>0.4</v>
      </c>
      <c r="K6" s="38">
        <f t="shared" si="3"/>
        <v>0.38526315789473681</v>
      </c>
    </row>
    <row r="7" spans="1:12" ht="24" x14ac:dyDescent="0.55000000000000004">
      <c r="A7" s="10" t="s">
        <v>17</v>
      </c>
      <c r="B7" s="11">
        <v>94</v>
      </c>
      <c r="C7" s="11">
        <v>23</v>
      </c>
      <c r="D7" s="11"/>
      <c r="E7" s="12">
        <f t="shared" si="0"/>
        <v>0.24468085106382978</v>
      </c>
      <c r="F7" s="13">
        <v>95</v>
      </c>
      <c r="G7" s="13">
        <v>25</v>
      </c>
      <c r="H7" s="13"/>
      <c r="I7" s="12">
        <f t="shared" si="1"/>
        <v>0.26315789473684209</v>
      </c>
      <c r="J7" s="37">
        <f t="shared" si="2"/>
        <v>8.6956521739130432E-2</v>
      </c>
      <c r="K7" s="38">
        <f t="shared" si="3"/>
        <v>7.5514874141876409E-2</v>
      </c>
    </row>
    <row r="8" spans="1:12" ht="24" x14ac:dyDescent="0.55000000000000004">
      <c r="A8" s="10" t="s">
        <v>18</v>
      </c>
      <c r="B8" s="11">
        <v>94</v>
      </c>
      <c r="C8" s="11">
        <v>26</v>
      </c>
      <c r="D8" s="11"/>
      <c r="E8" s="12">
        <f t="shared" si="0"/>
        <v>0.27659574468085107</v>
      </c>
      <c r="F8" s="13">
        <v>95</v>
      </c>
      <c r="G8" s="13">
        <v>30</v>
      </c>
      <c r="H8" s="13"/>
      <c r="I8" s="12">
        <f t="shared" si="1"/>
        <v>0.31578947368421051</v>
      </c>
      <c r="J8" s="37">
        <f t="shared" si="2"/>
        <v>0.15384615384615385</v>
      </c>
      <c r="K8" s="38">
        <f t="shared" si="3"/>
        <v>0.14170040485829949</v>
      </c>
    </row>
    <row r="9" spans="1:12" ht="24" x14ac:dyDescent="0.55000000000000004">
      <c r="A9" s="10" t="s">
        <v>19</v>
      </c>
      <c r="B9" s="11">
        <v>94</v>
      </c>
      <c r="C9" s="11">
        <v>30</v>
      </c>
      <c r="D9" s="11"/>
      <c r="E9" s="12">
        <f t="shared" si="0"/>
        <v>0.31914893617021278</v>
      </c>
      <c r="F9" s="13">
        <v>95</v>
      </c>
      <c r="G9" s="13">
        <v>35</v>
      </c>
      <c r="H9" s="13"/>
      <c r="I9" s="12">
        <f t="shared" si="1"/>
        <v>0.36842105263157893</v>
      </c>
      <c r="J9" s="37">
        <f t="shared" si="2"/>
        <v>0.16666666666666666</v>
      </c>
      <c r="K9" s="38">
        <f t="shared" si="3"/>
        <v>0.15438596491228057</v>
      </c>
    </row>
    <row r="10" spans="1:12" ht="24" x14ac:dyDescent="0.55000000000000004">
      <c r="A10" s="10" t="s">
        <v>20</v>
      </c>
      <c r="B10" s="11">
        <v>94</v>
      </c>
      <c r="C10" s="11">
        <v>20</v>
      </c>
      <c r="D10" s="11"/>
      <c r="E10" s="12">
        <f t="shared" si="0"/>
        <v>0.21276595744680851</v>
      </c>
      <c r="F10" s="13">
        <v>95</v>
      </c>
      <c r="G10" s="13">
        <v>28</v>
      </c>
      <c r="H10" s="13"/>
      <c r="I10" s="12">
        <f t="shared" si="1"/>
        <v>0.29473684210526313</v>
      </c>
      <c r="J10" s="37">
        <f t="shared" si="2"/>
        <v>0.4</v>
      </c>
      <c r="K10" s="38">
        <f t="shared" si="3"/>
        <v>0.3852631578947367</v>
      </c>
    </row>
    <row r="11" spans="1:12" ht="24" x14ac:dyDescent="0.55000000000000004">
      <c r="A11" s="10" t="s">
        <v>21</v>
      </c>
      <c r="B11" s="11">
        <v>94</v>
      </c>
      <c r="C11" s="11">
        <v>18</v>
      </c>
      <c r="D11" s="11"/>
      <c r="E11" s="12">
        <f t="shared" si="0"/>
        <v>0.19148936170212766</v>
      </c>
      <c r="F11" s="13">
        <v>95</v>
      </c>
      <c r="G11" s="13">
        <v>32</v>
      </c>
      <c r="H11" s="13"/>
      <c r="I11" s="12">
        <f t="shared" si="1"/>
        <v>0.33684210526315789</v>
      </c>
      <c r="J11" s="37">
        <f t="shared" si="2"/>
        <v>0.77777777777777779</v>
      </c>
      <c r="K11" s="38">
        <f t="shared" si="3"/>
        <v>0.75906432748538011</v>
      </c>
    </row>
    <row r="12" spans="1:12" ht="24" x14ac:dyDescent="0.55000000000000004">
      <c r="A12" s="10" t="s">
        <v>22</v>
      </c>
      <c r="B12" s="11">
        <v>94</v>
      </c>
      <c r="C12" s="11">
        <v>32</v>
      </c>
      <c r="D12" s="11"/>
      <c r="E12" s="12">
        <f t="shared" si="0"/>
        <v>0.34042553191489361</v>
      </c>
      <c r="F12" s="13">
        <v>95</v>
      </c>
      <c r="G12" s="13">
        <v>25</v>
      </c>
      <c r="H12" s="13"/>
      <c r="I12" s="12">
        <f t="shared" si="1"/>
        <v>0.26315789473684209</v>
      </c>
      <c r="J12" s="37">
        <f t="shared" si="2"/>
        <v>-0.21875</v>
      </c>
      <c r="K12" s="38">
        <f t="shared" si="3"/>
        <v>-0.22697368421052633</v>
      </c>
    </row>
    <row r="13" spans="1:12" ht="24" x14ac:dyDescent="0.55000000000000004">
      <c r="A13" s="10" t="s">
        <v>23</v>
      </c>
      <c r="B13" s="11">
        <v>94</v>
      </c>
      <c r="C13" s="11">
        <v>30</v>
      </c>
      <c r="D13" s="11"/>
      <c r="E13" s="12">
        <f t="shared" si="0"/>
        <v>0.31914893617021278</v>
      </c>
      <c r="F13" s="13">
        <v>95</v>
      </c>
      <c r="G13" s="13">
        <v>28</v>
      </c>
      <c r="H13" s="13"/>
      <c r="I13" s="12">
        <f t="shared" si="1"/>
        <v>0.29473684210526313</v>
      </c>
      <c r="J13" s="37">
        <f t="shared" si="2"/>
        <v>-6.6666666666666666E-2</v>
      </c>
      <c r="K13" s="38">
        <f t="shared" si="3"/>
        <v>-7.6491228070175568E-2</v>
      </c>
    </row>
    <row r="14" spans="1:12" ht="24" x14ac:dyDescent="0.55000000000000004">
      <c r="A14" s="10" t="s">
        <v>24</v>
      </c>
      <c r="B14" s="11">
        <v>94</v>
      </c>
      <c r="C14" s="11">
        <v>25</v>
      </c>
      <c r="D14" s="11"/>
      <c r="E14" s="12">
        <f t="shared" si="0"/>
        <v>0.26595744680851063</v>
      </c>
      <c r="F14" s="13">
        <v>95</v>
      </c>
      <c r="G14" s="13">
        <v>30</v>
      </c>
      <c r="H14" s="13"/>
      <c r="I14" s="12">
        <f t="shared" si="1"/>
        <v>0.31578947368421051</v>
      </c>
      <c r="J14" s="37">
        <f t="shared" si="2"/>
        <v>0.2</v>
      </c>
      <c r="K14" s="38">
        <f t="shared" si="3"/>
        <v>0.18736842105263155</v>
      </c>
    </row>
    <row r="15" spans="1:12" ht="24" x14ac:dyDescent="0.55000000000000004">
      <c r="A15" s="10" t="s">
        <v>25</v>
      </c>
      <c r="B15" s="11">
        <v>94</v>
      </c>
      <c r="C15" s="11">
        <v>20</v>
      </c>
      <c r="D15" s="11"/>
      <c r="E15" s="12">
        <f t="shared" si="0"/>
        <v>0.21276595744680851</v>
      </c>
      <c r="F15" s="13">
        <v>95</v>
      </c>
      <c r="G15" s="13">
        <v>32</v>
      </c>
      <c r="H15" s="13"/>
      <c r="I15" s="12">
        <f t="shared" si="1"/>
        <v>0.33684210526315789</v>
      </c>
      <c r="J15" s="37">
        <f t="shared" si="2"/>
        <v>0.6</v>
      </c>
      <c r="K15" s="38">
        <f t="shared" si="3"/>
        <v>0.5831578947368421</v>
      </c>
    </row>
    <row r="16" spans="1:12" ht="24" x14ac:dyDescent="0.55000000000000004">
      <c r="A16" s="10" t="s">
        <v>26</v>
      </c>
      <c r="B16" s="11">
        <v>94</v>
      </c>
      <c r="C16" s="11">
        <v>30</v>
      </c>
      <c r="D16" s="11"/>
      <c r="E16" s="12">
        <f t="shared" si="0"/>
        <v>0.31914893617021278</v>
      </c>
      <c r="F16" s="13">
        <v>95</v>
      </c>
      <c r="G16" s="13">
        <v>25</v>
      </c>
      <c r="H16" s="13"/>
      <c r="I16" s="12">
        <f t="shared" si="1"/>
        <v>0.26315789473684209</v>
      </c>
      <c r="J16" s="37">
        <f t="shared" si="2"/>
        <v>-0.16666666666666666</v>
      </c>
      <c r="K16" s="38">
        <f t="shared" si="3"/>
        <v>-0.17543859649122817</v>
      </c>
    </row>
    <row r="17" spans="1:11" ht="24" x14ac:dyDescent="0.55000000000000004">
      <c r="A17" s="10" t="s">
        <v>27</v>
      </c>
      <c r="B17" s="12">
        <f>AVERAGE(B5:B16)</f>
        <v>94</v>
      </c>
      <c r="C17" s="12">
        <f>AVERAGE(C5:C16)</f>
        <v>25.333333333333332</v>
      </c>
      <c r="D17" s="12"/>
      <c r="E17" s="12">
        <f>AVERAGE(E5:E16)</f>
        <v>0.26950354609929078</v>
      </c>
      <c r="F17" s="12">
        <f>AVERAGE(F5:F16)</f>
        <v>95</v>
      </c>
      <c r="G17" s="12">
        <f>AVERAGE(G5:G16)</f>
        <v>29.583333333333332</v>
      </c>
      <c r="H17" s="12"/>
      <c r="I17" s="12">
        <f t="shared" si="1"/>
        <v>0.31140350877192979</v>
      </c>
      <c r="J17" s="37">
        <f t="shared" si="2"/>
        <v>0.16776315789473684</v>
      </c>
      <c r="K17" s="38">
        <f t="shared" si="3"/>
        <v>0.1554709141274237</v>
      </c>
    </row>
    <row r="18" spans="1:11" ht="24" x14ac:dyDescent="0.55000000000000004">
      <c r="A18" s="10" t="s">
        <v>28</v>
      </c>
      <c r="B18" s="12">
        <f t="shared" ref="B18:I18" si="4">SUM(B5:B16)</f>
        <v>1128</v>
      </c>
      <c r="C18" s="12">
        <f t="shared" si="4"/>
        <v>304</v>
      </c>
      <c r="D18" s="12">
        <f t="shared" si="4"/>
        <v>0</v>
      </c>
      <c r="E18" s="12">
        <f t="shared" si="4"/>
        <v>3.2340425531914891</v>
      </c>
      <c r="F18" s="12">
        <f t="shared" si="4"/>
        <v>1140</v>
      </c>
      <c r="G18" s="12">
        <f t="shared" si="4"/>
        <v>355</v>
      </c>
      <c r="H18" s="12">
        <f t="shared" si="4"/>
        <v>0</v>
      </c>
      <c r="I18" s="12">
        <f t="shared" si="4"/>
        <v>3.736842105263158</v>
      </c>
      <c r="J18" s="37">
        <f t="shared" si="2"/>
        <v>0.16776315789473684</v>
      </c>
      <c r="K18" s="38">
        <f t="shared" si="3"/>
        <v>0.15547091412742392</v>
      </c>
    </row>
    <row r="19" spans="1:11" ht="24" x14ac:dyDescent="0.55000000000000004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8"/>
    </row>
    <row r="20" spans="1:11" x14ac:dyDescent="0.35">
      <c r="A20" s="3"/>
    </row>
  </sheetData>
  <mergeCells count="5">
    <mergeCell ref="A2:K2"/>
    <mergeCell ref="A3:A4"/>
    <mergeCell ref="B3:E3"/>
    <mergeCell ref="F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1</vt:i4>
      </vt:variant>
    </vt:vector>
  </HeadingPairs>
  <TitlesOfParts>
    <vt:vector size="6" baseType="lpstr">
      <vt:lpstr>2569</vt:lpstr>
      <vt:lpstr>2568</vt:lpstr>
      <vt:lpstr>2567</vt:lpstr>
      <vt:lpstr>แต่ละหน่วยงาน</vt:lpstr>
      <vt:lpstr>Reuse</vt:lpstr>
      <vt:lpstr>'2569'!Print_Area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Prinya Pianussa</dc:creator>
  <cp:lastModifiedBy>Prinya Pianussa</cp:lastModifiedBy>
  <dcterms:created xsi:type="dcterms:W3CDTF">2026-08-07T02:53:47Z</dcterms:created>
  <dcterms:modified xsi:type="dcterms:W3CDTF">2026-08-07T02:57:04Z</dcterms:modified>
</cp:coreProperties>
</file>